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8711b9214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c290c577ac8544a6"/>
    <x:sheet xmlns:r="http://schemas.openxmlformats.org/officeDocument/2006/relationships" name="01_CONTROL" sheetId="2" r:id="R8a8609d6576b4baa"/>
    <x:sheet xmlns:r="http://schemas.openxmlformats.org/officeDocument/2006/relationships" name="02_DATOS_RAW" sheetId="3" r:id="Rc0a9253e570e4823"/>
    <x:sheet xmlns:r="http://schemas.openxmlformats.org/officeDocument/2006/relationships" name="03_NORMALIZACION" sheetId="4" r:id="Re2f08ebfad9a4077"/>
    <x:sheet xmlns:r="http://schemas.openxmlformats.org/officeDocument/2006/relationships" name="04_METRICAS_SECTOR" sheetId="5" r:id="R1d7d4f45fbf048bc"/>
    <x:sheet xmlns:r="http://schemas.openxmlformats.org/officeDocument/2006/relationships" name="05_AJUSTES_NOTICIAS" sheetId="6" r:id="R0ea1d56491c342e4"/>
    <x:sheet xmlns:r="http://schemas.openxmlformats.org/officeDocument/2006/relationships" name="06_DRIVERS" sheetId="7" r:id="R292714c2db864be5"/>
    <x:sheet xmlns:r="http://schemas.openxmlformats.org/officeDocument/2006/relationships" name="07_WACC" sheetId="8" r:id="R95a071e407204abc"/>
    <x:sheet xmlns:r="http://schemas.openxmlformats.org/officeDocument/2006/relationships" name="08_PROYECCIONES" sheetId="9" r:id="R34c068c08f6b4dad"/>
    <x:sheet xmlns:r="http://schemas.openxmlformats.org/officeDocument/2006/relationships" name="09_VALORACION" sheetId="10" r:id="R81dfda8ab4644db8"/>
    <x:sheet xmlns:r="http://schemas.openxmlformats.org/officeDocument/2006/relationships" name="10_RESULTADO" sheetId="11" r:id="Rdae9b4204be347e7"/>
    <x:sheet xmlns:r="http://schemas.openxmlformats.org/officeDocument/2006/relationships" name="11_OUTPUT_API" sheetId="12" r:id="Rf69c236c42e34f02"/>
    <x:sheet xmlns:r="http://schemas.openxmlformats.org/officeDocument/2006/relationships" name="12_MAPEO_SOFTWARE" sheetId="13" r:id="R25879626376043d3"/>
    <x:sheet xmlns:r="http://schemas.openxmlformats.org/officeDocument/2006/relationships" name="13_VALIDACIONES" sheetId="14" r:id="R9b9718d271a0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x"/>
    <x:numFmt numFmtId="206" formatCode="0.00x"/>
    <x:numFmt numFmtId="207" formatCode="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5" fontId="4" fillId="5" borderId="0" xfId="0" applyNumberFormat="1" applyFont="1" applyFill="1" applyBorder="1" applyAlignment="1">
      <x:alignment vertical="center"/>
    </x:xf>
    <x:xf numFmtId="205" fontId="4" fillId="5" borderId="1" xfId="0" applyNumberFormat="1" applyFont="1" applyFill="1" applyBorder="1" applyAlignment="1">
      <x:alignment vertical="center"/>
    </x:xf>
    <x:xf numFmtId="206" fontId="4" fillId="5" borderId="0" xfId="0" applyNumberFormat="1" applyFont="1" applyFill="1" applyBorder="1" applyAlignment="1">
      <x:alignment vertical="center"/>
    </x:xf>
    <x:xf numFmtId="206" fontId="4" fillId="5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 wrapText="1"/>
    </x:xf>
    <x:xf numFmtId="202" fontId="0" fillId="8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ad06472cd43f3" /><Relationship Type="http://schemas.openxmlformats.org/officeDocument/2006/relationships/theme" Target="/xl/theme/theme1.xml" Id="R6e2e22115a874670" /><Relationship Type="http://schemas.openxmlformats.org/officeDocument/2006/relationships/sharedStrings" Target="/xl/sharedStrings.xml" Id="R320e4cf1b32b4c52" /><Relationship Type="http://schemas.openxmlformats.org/officeDocument/2006/relationships/worksheet" Target="/xl/worksheets/sheet1.xml" Id="Rc290c577ac8544a6" /><Relationship Type="http://schemas.openxmlformats.org/officeDocument/2006/relationships/worksheet" Target="/xl/worksheets/sheet2.xml" Id="R8a8609d6576b4baa" /><Relationship Type="http://schemas.openxmlformats.org/officeDocument/2006/relationships/worksheet" Target="/xl/worksheets/sheet3.xml" Id="Rc0a9253e570e4823" /><Relationship Type="http://schemas.openxmlformats.org/officeDocument/2006/relationships/worksheet" Target="/xl/worksheets/sheet4.xml" Id="Re2f08ebfad9a4077" /><Relationship Type="http://schemas.openxmlformats.org/officeDocument/2006/relationships/worksheet" Target="/xl/worksheets/sheet5.xml" Id="R1d7d4f45fbf048bc" /><Relationship Type="http://schemas.openxmlformats.org/officeDocument/2006/relationships/worksheet" Target="/xl/worksheets/sheet6.xml" Id="R0ea1d56491c342e4" /><Relationship Type="http://schemas.openxmlformats.org/officeDocument/2006/relationships/worksheet" Target="/xl/worksheets/sheet7.xml" Id="R292714c2db864be5" /><Relationship Type="http://schemas.openxmlformats.org/officeDocument/2006/relationships/worksheet" Target="/xl/worksheets/sheet8.xml" Id="R95a071e407204abc" /><Relationship Type="http://schemas.openxmlformats.org/officeDocument/2006/relationships/worksheet" Target="/xl/worksheets/sheet9.xml" Id="R34c068c08f6b4dad" /><Relationship Type="http://schemas.openxmlformats.org/officeDocument/2006/relationships/worksheet" Target="/xl/worksheets/sheet10.xml" Id="R81dfda8ab4644db8" /><Relationship Type="http://schemas.openxmlformats.org/officeDocument/2006/relationships/worksheet" Target="/xl/worksheets/sheet11.xml" Id="Rdae9b4204be347e7" /><Relationship Type="http://schemas.openxmlformats.org/officeDocument/2006/relationships/worksheet" Target="/xl/worksheets/sheet12.xml" Id="Rf69c236c42e34f02" /><Relationship Type="http://schemas.openxmlformats.org/officeDocument/2006/relationships/worksheet" Target="/xl/worksheets/sheet13.xml" Id="R25879626376043d3" /><Relationship Type="http://schemas.openxmlformats.org/officeDocument/2006/relationships/worksheet" Target="/xl/worksheets/sheet14.xml" Id="R9b9718d271a043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01 — DEFENSA Y AEROESPACIAL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01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Defensa y aeroespacial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01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5" t="str">
        <x:v>valuation_run_id</x:v>
      </x:c>
      <x:c r="B23" s="68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5" t="str">
        <x:v>input_snapshot_id</x:v>
      </x:c>
      <x:c r="B24" s="68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5" t="str">
        <x:v>reporting_currency</x:v>
      </x:c>
      <x:c r="B25" s="68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5" t="str">
        <x:v>valuation_currency</x:v>
      </x:c>
      <x:c r="B26" s="68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5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5" t="str">
        <x:v>risk_free_rate</x:v>
      </x:c>
      <x:c r="B28" s="84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5" t="str">
        <x:v>equity_risk_premium</x:v>
      </x:c>
      <x:c r="B29" s="84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5" t="str">
        <x:v>country_risk_premium</x:v>
      </x:c>
      <x:c r="B30" s="84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5" t="str">
        <x:v>size_premium</x:v>
      </x:c>
      <x:c r="B31" s="84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5" t="str">
        <x:v>tax_rate</x:v>
      </x:c>
      <x:c r="B32" s="84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5" t="str">
        <x:v>interest_coverage</x:v>
      </x:c>
      <x:c r="B33" s="102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5" t="str">
        <x:v>synthetic_rating</x:v>
      </x:c>
      <x:c r="B34" s="68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5" t="str">
        <x:v>credit_spread</x:v>
      </x:c>
      <x:c r="B35" s="84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5" t="str">
        <x:v>terminal_growth_max</x:v>
      </x:c>
      <x:c r="B36" s="84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5" t="str">
        <x:v>sector_beta</x:v>
      </x:c>
      <x:c r="B37" s="102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15" t="str">
        <x:v>spread_credito_optimista</x:v>
      </x:c>
      <x:c r="B38" s="116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15" t="str">
        <x:v>spread_credito_pesimista</x:v>
      </x:c>
      <x:c r="B39" s="116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15" t="str">
        <x:v>prima_iliquidez</x:v>
      </x:c>
      <x:c r="B40" s="116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15" t="str">
        <x:v>prima_tamano</x:v>
      </x:c>
      <x:c r="B41" s="116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15" t="str">
        <x:v>prima_concentracion_clientes</x:v>
      </x:c>
      <x:c r="B42" s="116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15" t="str">
        <x:v>otros_ajustes_wacc</x:v>
      </x:c>
      <x:c r="B43" s="116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1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1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8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DEFENSA Y AEROESPACIAL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backlog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book_to_bill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new_orders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government_revenue_pct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customer_concentration_pct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0.06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0.024</x:v>
      </x:c>
      <x:c r="J4" s="76" t="n">
        <x:f>MAX(K4,MIN(L4,I4+H4))</x:f>
        <x:v>0.024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0.12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0.078</x:v>
      </x:c>
      <x:c r="J5" s="76" t="n">
        <x:f>MAX(K5,MIN(L5,I5+H5))</x:f>
        <x:v>0.078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0.028000000000000004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0.007000000000000001</x:v>
      </x:c>
      <x:c r="J7" s="76" t="n">
        <x:f>MAX(K7,MIN(L7,I7+H7))</x:f>
        <x:v>0.007000000000000001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0.035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0.035</x:v>
      </x:c>
      <x:c r="J8" s="76" t="n">
        <x:f>MAX(K8,MIN(L8,I8+H8))</x:f>
        <x:v>0.035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0.00375</x:v>
      </x:c>
      <x:c r="J9" s="76" t="n">
        <x:f>MAX(K9,MIN(L9,I9+H9))</x:f>
        <x:v>0.00375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0.0225</x:v>
      </x:c>
      <x:c r="J10" s="76" t="n">
        <x:f>MAX(K10,MIN(L10,I10+H10))</x:f>
        <x:v>0.0225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11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11</x:v>
      </x:c>
      <x:c r="J12" s="78" t="n">
        <x:f>MAX(K12,MIN(L12,I12+H12))</x:f>
        <x:v>11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WACC DINÁMICO — INPUTS BACKEND + RATING SINTÉTICO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7" t="str">
        <x:v>CONTRATO DE DATOS</x:v>
      </x:c>
      <x:c r="B3" s="117" t="str">
        <x:v>Entrada / origen</x:v>
      </x:c>
      <x:c r="C3" s="117" t="str">
        <x:v>Unidad</x:v>
      </x:c>
      <x:c r="D3" s="117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88" t="str">
        <x:v>CÁLCULO DEL WACC</x:v>
      </x:c>
      <x:c r="B12" s="88"/>
      <x:c r="C12" s="88"/>
      <x:c r="D12" s="88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22" t="str">
        <x:v>Rating input</x:v>
      </x:c>
      <x:c r="G13" s="2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110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76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20" t="str">
        <x:v>Ke = Rf + beta x ERP  |  Kd = Rf + spread  |  E = precio x acciones  |  D = deuda financiera con coste</x:v>
      </x:c>
      <x:c r="G17" s="120" t="str"/>
      <x:c r="H17" s="120" t="str"/>
      <x:c r="I17" s="120" t="str"/>
      <x:c r="J17" s="120" t="str"/>
      <x:c r="K17" s="120" t="str"/>
      <x:c r="L17" s="120" t="str"/>
      <x:c r="M17" s="120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7" t="str">
        <x:v>PARÁMETRO</x:v>
      </x:c>
      <x:c r="G18" s="117" t="str"/>
      <x:c r="H18" s="117" t="str">
        <x:v>CONSERVATIVE</x:v>
      </x:c>
      <x:c r="I18" s="117" t="str"/>
      <x:c r="J18" s="117" t="str">
        <x:v>BASE</x:v>
      </x:c>
      <x:c r="K18" s="117" t="str"/>
      <x:c r="L18" s="117" t="str">
        <x:v>OPTIMISTIC</x:v>
      </x:c>
      <x:c r="M18" s="117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22" t="n">
        <x:f>'01_CONTROL'!B37</x:f>
        <x:v>0</x:v>
      </x:c>
      <x:c r="I21" s="62"/>
      <x:c r="J21" s="122" t="n">
        <x:f>'01_CONTROL'!B37</x:f>
        <x:v>0</x:v>
      </x:c>
      <x:c r="K21" s="62"/>
      <x:c r="L21" s="122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16"/>
      <x:c r="I30" s="62"/>
      <x:c r="J30" s="116"/>
      <x:c r="K30" s="62"/>
      <x:c r="L30" s="116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16"/>
      <x:c r="I31" s="62"/>
      <x:c r="J31" s="116"/>
      <x:c r="K31" s="62"/>
      <x:c r="L31" s="116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16"/>
      <x:c r="I32" s="62"/>
      <x:c r="J32" s="116"/>
      <x:c r="K32" s="62"/>
      <x:c r="L32" s="116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16"/>
      <x:c r="I33" s="62"/>
      <x:c r="J33" s="116"/>
      <x:c r="K33" s="62"/>
      <x:c r="L33" s="116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-0.011000000000000003</x:v>
      </x:c>
      <x:c r="D6" s="76" t="n">
        <x:f>MAX(-0.20,MIN(0.35,'06_DRIVERS'!$J$4*0.9+-0.035))</x:f>
        <x:v>-0.013400000000000002</x:v>
      </x:c>
      <x:c r="E6" s="76" t="n">
        <x:f>MAX(-0.20,MIN(0.35,'06_DRIVERS'!$J$4*0.8+-0.035))</x:f>
        <x:v>-0.0158</x:v>
      </x:c>
      <x:c r="F6" s="76" t="n">
        <x:f>MAX(-0.20,MIN(0.35,'06_DRIVERS'!$J$4*0.7+-0.035))</x:f>
        <x:v>-0.018200000000000004</x:v>
      </x:c>
      <x:c r="G6" s="76" t="n">
        <x:f>MAX(-0.20,MIN(0.35,'06_DRIVERS'!$J$4*0.6+-0.035))</x:f>
        <x:v>-0.020600000000000004</x:v>
      </x:c>
      <x:c r="H6" s="62"/>
      <x:c r="I6" s="62" t="str">
        <x:v>Growth</x:v>
      </x:c>
      <x:c r="J6" s="75"/>
      <x:c r="K6" s="76" t="n">
        <x:f>MAX(-0.20,MIN(0.35,'06_DRIVERS'!$J$4*1+0))</x:f>
        <x:v>0.024</x:v>
      </x:c>
      <x:c r="L6" s="76" t="n">
        <x:f>MAX(-0.20,MIN(0.35,'06_DRIVERS'!$J$4*0.9+0))</x:f>
        <x:v>0.0216</x:v>
      </x:c>
      <x:c r="M6" s="76" t="n">
        <x:f>MAX(-0.20,MIN(0.35,'06_DRIVERS'!$J$4*0.8+0))</x:f>
        <x:v>0.019200000000000002</x:v>
      </x:c>
      <x:c r="N6" s="76" t="n">
        <x:f>MAX(-0.20,MIN(0.35,'06_DRIVERS'!$J$4*0.7+0))</x:f>
        <x:v>0.0168</x:v>
      </x:c>
      <x:c r="O6" s="76" t="n">
        <x:f>MAX(-0.20,MIN(0.35,'06_DRIVERS'!$J$4*0.6+0))</x:f>
        <x:v>0.0144</x:v>
      </x:c>
      <x:c r="P6" s="62"/>
      <x:c r="Q6" s="62" t="str">
        <x:v>Growth</x:v>
      </x:c>
      <x:c r="R6" s="75"/>
      <x:c r="S6" s="76" t="n">
        <x:f>MAX(-0.20,MIN(0.35,'06_DRIVERS'!$J$4*1+0.035))</x:f>
        <x:v>0.059000000000000004</x:v>
      </x:c>
      <x:c r="T6" s="76" t="n">
        <x:f>MAX(-0.20,MIN(0.35,'06_DRIVERS'!$J$4*0.9+0.035))</x:f>
        <x:v>0.056600000000000004</x:v>
      </x:c>
      <x:c r="U6" s="76" t="n">
        <x:f>MAX(-0.20,MIN(0.35,'06_DRIVERS'!$J$4*0.8+0.035))</x:f>
        <x:v>0.054200000000000005</x:v>
      </x:c>
      <x:c r="V6" s="76" t="n">
        <x:f>MAX(-0.20,MIN(0.35,'06_DRIVERS'!$J$4*0.7+0.035))</x:f>
        <x:v>0.0518</x:v>
      </x:c>
      <x:c r="W6" s="76" t="n">
        <x:f>MAX(-0.20,MIN(0.35,'06_DRIVERS'!$J$4*0.6+0.035))</x:f>
        <x:v>0.0494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-0.0094</x:v>
      </x:c>
      <x:c r="D7" s="76" t="n">
        <x:f>MAX(-0.30,MIN(0.50,'03_NORMALIZACION'!$E$9+('06_DRIVERS'!$J$5-'03_NORMALIZACION'!$E$9)*0.4+-0.025))</x:f>
        <x:v>0.006200000000000001</x:v>
      </x:c>
      <x:c r="E7" s="76" t="n">
        <x:f>MAX(-0.30,MIN(0.50,'03_NORMALIZACION'!$E$9+('06_DRIVERS'!$J$5-'03_NORMALIZACION'!$E$9)*0.6+-0.025))</x:f>
        <x:v>0.0218</x:v>
      </x:c>
      <x:c r="F7" s="76" t="n">
        <x:f>MAX(-0.30,MIN(0.50,'03_NORMALIZACION'!$E$9+('06_DRIVERS'!$J$5-'03_NORMALIZACION'!$E$9)*0.8+-0.025))</x:f>
        <x:v>0.0374</x:v>
      </x:c>
      <x:c r="G7" s="76" t="n">
        <x:f>MAX(-0.30,MIN(0.50,'03_NORMALIZACION'!$E$9+('06_DRIVERS'!$J$5-'03_NORMALIZACION'!$E$9)*1.0+-0.025))</x:f>
        <x:v>0.053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0.015600000000000001</x:v>
      </x:c>
      <x:c r="L7" s="76" t="n">
        <x:f>MAX(-0.30,MIN(0.50,'03_NORMALIZACION'!$E$9+('06_DRIVERS'!$J$5-'03_NORMALIZACION'!$E$9)*0.4+0))</x:f>
        <x:v>0.031200000000000002</x:v>
      </x:c>
      <x:c r="M7" s="76" t="n">
        <x:f>MAX(-0.30,MIN(0.50,'03_NORMALIZACION'!$E$9+('06_DRIVERS'!$J$5-'03_NORMALIZACION'!$E$9)*0.6+0))</x:f>
        <x:v>0.0468</x:v>
      </x:c>
      <x:c r="N7" s="76" t="n">
        <x:f>MAX(-0.30,MIN(0.50,'03_NORMALIZACION'!$E$9+('06_DRIVERS'!$J$5-'03_NORMALIZACION'!$E$9)*0.8+0))</x:f>
        <x:v>0.062400000000000004</x:v>
      </x:c>
      <x:c r="O7" s="76" t="n">
        <x:f>MAX(-0.30,MIN(0.50,'03_NORMALIZACION'!$E$9+('06_DRIVERS'!$J$5-'03_NORMALIZACION'!$E$9)*1.0+0))</x:f>
        <x:v>0.078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0.040600000000000004</x:v>
      </x:c>
      <x:c r="T7" s="76" t="n">
        <x:f>MAX(-0.30,MIN(0.50,'03_NORMALIZACION'!$E$9+('06_DRIVERS'!$J$5-'03_NORMALIZACION'!$E$9)*0.4+0.025))</x:f>
        <x:v>0.0562</x:v>
      </x:c>
      <x:c r="U7" s="76" t="n">
        <x:f>MAX(-0.30,MIN(0.50,'03_NORMALIZACION'!$E$9+('06_DRIVERS'!$J$5-'03_NORMALIZACION'!$E$9)*0.6+0.025))</x:f>
        <x:v>0.0718</x:v>
      </x:c>
      <x:c r="V7" s="76" t="n">
        <x:f>MAX(-0.30,MIN(0.50,'03_NORMALIZACION'!$E$9+('06_DRIVERS'!$J$5-'03_NORMALIZACION'!$E$9)*0.8+0.025))</x:f>
        <x:v>0.0874</x:v>
      </x:c>
      <x:c r="W7" s="76" t="n">
        <x:f>MAX(-0.30,MIN(0.50,'03_NORMALIZACION'!$E$9+('06_DRIVERS'!$J$5-'03_NORMALIZACION'!$E$9)*1.0+0.025))</x:f>
        <x:v>0.10300000000000001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2" hidden="0" customWidth="1"/>
  </x:cols>
  <x:sheetData>
    <x:row r="1" ht="28" customHeight="1">
      <x:c r="A1" s="5" t="str">
        <x:v>SALIDA UNIVERSAL PARA BACKEND — v1.2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01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5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75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75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75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76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76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76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76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76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sector_metrics.backlog.fy3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sector_metrics.backlog.fy2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sector_metrics.backlog.fy1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sector_metrics.backlog.fy0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sector_metrics.book_to_bill.fy3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sector_metrics.book_to_bill.fy2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sector_metrics.book_to_bill.fy1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sector_metrics.book_to_bill.fy0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sector_metrics.new_orders.fy3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sector_metrics.new_orders.fy2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sector_metrics.new_orders.fy1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sector_metrics.new_orders.fy0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sector_metrics.government_revenue_pct.fy3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sector_metrics.government_revenue_pct.fy2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sector_metrics.government_revenue_pct.fy1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sector_metrics.government_revenue_pct.fy0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sector_metrics.customer_concentration_pct.fy3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sector_metrics.customer_concentration_pct.fy2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sector_metrics.customer_concentration_pct.fy1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sector_metrics.customer_concentration_pct.fy0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