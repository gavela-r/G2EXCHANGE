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3517aa81c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1b18d6b2793247a0"/>
    <x:sheet xmlns:r="http://schemas.openxmlformats.org/officeDocument/2006/relationships" name="01_CONTROL" sheetId="2" r:id="Rb986488560af493a"/>
    <x:sheet xmlns:r="http://schemas.openxmlformats.org/officeDocument/2006/relationships" name="02_DATOS_RAW" sheetId="3" r:id="R1d3c918d7fe84e94"/>
    <x:sheet xmlns:r="http://schemas.openxmlformats.org/officeDocument/2006/relationships" name="03_NORMALIZACION" sheetId="4" r:id="Rb2f2e547a44d4830"/>
    <x:sheet xmlns:r="http://schemas.openxmlformats.org/officeDocument/2006/relationships" name="04_METRICAS_SECTOR" sheetId="5" r:id="Rc4559315b27d4b2b"/>
    <x:sheet xmlns:r="http://schemas.openxmlformats.org/officeDocument/2006/relationships" name="05_AJUSTES_NOTICIAS" sheetId="6" r:id="Rb844e26a02494071"/>
    <x:sheet xmlns:r="http://schemas.openxmlformats.org/officeDocument/2006/relationships" name="06_DRIVERS" sheetId="7" r:id="R9727fdc63fe248d1"/>
    <x:sheet xmlns:r="http://schemas.openxmlformats.org/officeDocument/2006/relationships" name="07_WACC" sheetId="8" r:id="R74385092a41b4ede"/>
    <x:sheet xmlns:r="http://schemas.openxmlformats.org/officeDocument/2006/relationships" name="08_PROYECCIONES" sheetId="9" r:id="Re9470a9ec05d4b20"/>
    <x:sheet xmlns:r="http://schemas.openxmlformats.org/officeDocument/2006/relationships" name="09_VALORACION" sheetId="10" r:id="Rcf716343a57141ad"/>
    <x:sheet xmlns:r="http://schemas.openxmlformats.org/officeDocument/2006/relationships" name="10_RESULTADO" sheetId="11" r:id="R5785f877d38443fd"/>
    <x:sheet xmlns:r="http://schemas.openxmlformats.org/officeDocument/2006/relationships" name="11_OUTPUT_API" sheetId="12" r:id="Rfd0ac684cac948fe"/>
    <x:sheet xmlns:r="http://schemas.openxmlformats.org/officeDocument/2006/relationships" name="12_MAPEO_SOFTWARE" sheetId="13" r:id="Ra978dd2d99ca451d"/>
    <x:sheet xmlns:r="http://schemas.openxmlformats.org/officeDocument/2006/relationships" name="13_VALIDACIONES" sheetId="14" r:id="R93e4d9aa8031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e0f63f68e49e2" /><Relationship Type="http://schemas.openxmlformats.org/officeDocument/2006/relationships/theme" Target="/xl/theme/theme1.xml" Id="R7681302931e84ad6" /><Relationship Type="http://schemas.openxmlformats.org/officeDocument/2006/relationships/sharedStrings" Target="/xl/sharedStrings.xml" Id="Rf0cb2cc7264e4c4f" /><Relationship Type="http://schemas.openxmlformats.org/officeDocument/2006/relationships/worksheet" Target="/xl/worksheets/sheet1.xml" Id="R1b18d6b2793247a0" /><Relationship Type="http://schemas.openxmlformats.org/officeDocument/2006/relationships/worksheet" Target="/xl/worksheets/sheet2.xml" Id="Rb986488560af493a" /><Relationship Type="http://schemas.openxmlformats.org/officeDocument/2006/relationships/worksheet" Target="/xl/worksheets/sheet3.xml" Id="R1d3c918d7fe84e94" /><Relationship Type="http://schemas.openxmlformats.org/officeDocument/2006/relationships/worksheet" Target="/xl/worksheets/sheet4.xml" Id="Rb2f2e547a44d4830" /><Relationship Type="http://schemas.openxmlformats.org/officeDocument/2006/relationships/worksheet" Target="/xl/worksheets/sheet5.xml" Id="Rc4559315b27d4b2b" /><Relationship Type="http://schemas.openxmlformats.org/officeDocument/2006/relationships/worksheet" Target="/xl/worksheets/sheet6.xml" Id="Rb844e26a02494071" /><Relationship Type="http://schemas.openxmlformats.org/officeDocument/2006/relationships/worksheet" Target="/xl/worksheets/sheet7.xml" Id="R9727fdc63fe248d1" /><Relationship Type="http://schemas.openxmlformats.org/officeDocument/2006/relationships/worksheet" Target="/xl/worksheets/sheet8.xml" Id="R74385092a41b4ede" /><Relationship Type="http://schemas.openxmlformats.org/officeDocument/2006/relationships/worksheet" Target="/xl/worksheets/sheet9.xml" Id="Re9470a9ec05d4b20" /><Relationship Type="http://schemas.openxmlformats.org/officeDocument/2006/relationships/worksheet" Target="/xl/worksheets/sheet10.xml" Id="Rcf716343a57141ad" /><Relationship Type="http://schemas.openxmlformats.org/officeDocument/2006/relationships/worksheet" Target="/xl/worksheets/sheet11.xml" Id="R5785f877d38443fd" /><Relationship Type="http://schemas.openxmlformats.org/officeDocument/2006/relationships/worksheet" Target="/xl/worksheets/sheet12.xml" Id="Rfd0ac684cac948fe" /><Relationship Type="http://schemas.openxmlformats.org/officeDocument/2006/relationships/worksheet" Target="/xl/worksheets/sheet13.xml" Id="Ra978dd2d99ca451d" /><Relationship Type="http://schemas.openxmlformats.org/officeDocument/2006/relationships/worksheet" Target="/xl/worksheets/sheet14.xml" Id="R93e4d9aa8031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05 — AUTOMOCIÓN / COMPONENTES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05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Automoción / componentes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05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AUTOMOCIÓN / COMPONENTES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units_sold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average_selling_price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ev_mix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capacity_utilization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warranty_to_revenue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0.04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0.016</x:v>
      </x:c>
      <x:c r="J4" s="76" t="n">
        <x:f>MAX(K4,MIN(L4,I4+H4))</x:f>
        <x:v>0.016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0.08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0.052000000000000005</x:v>
      </x:c>
      <x:c r="J5" s="76" t="n">
        <x:f>MAX(K5,MIN(L5,I5+H5))</x:f>
        <x:v>0.052000000000000005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0.048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0.012</x:v>
      </x:c>
      <x:c r="J7" s="76" t="n">
        <x:f>MAX(K7,MIN(L7,I7+H7))</x:f>
        <x:v>0.012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0.06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0.06</x:v>
      </x:c>
      <x:c r="J8" s="76" t="n">
        <x:f>MAX(K8,MIN(L8,I8+H8))</x:f>
        <x:v>0.06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0.02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0.005</x:v>
      </x:c>
      <x:c r="J9" s="76" t="n">
        <x:f>MAX(K9,MIN(L9,I9+H9))</x:f>
        <x:v>0.005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7.5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7.5</x:v>
      </x:c>
      <x:c r="J12" s="78" t="n">
        <x:f>MAX(K12,MIN(L12,I12+H12))</x:f>
        <x:v>7.5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-0.019000000000000003</x:v>
      </x:c>
      <x:c r="D6" s="76" t="n">
        <x:f>MAX(-0.20,MIN(0.35,'06_DRIVERS'!$J$4*0.9+-0.035))</x:f>
        <x:v>-0.0206</x:v>
      </x:c>
      <x:c r="E6" s="76" t="n">
        <x:f>MAX(-0.20,MIN(0.35,'06_DRIVERS'!$J$4*0.8+-0.035))</x:f>
        <x:v>-0.022200000000000004</x:v>
      </x:c>
      <x:c r="F6" s="76" t="n">
        <x:f>MAX(-0.20,MIN(0.35,'06_DRIVERS'!$J$4*0.7+-0.035))</x:f>
        <x:v>-0.0238</x:v>
      </x:c>
      <x:c r="G6" s="76" t="n">
        <x:f>MAX(-0.20,MIN(0.35,'06_DRIVERS'!$J$4*0.6+-0.035))</x:f>
        <x:v>-0.025400000000000006</x:v>
      </x:c>
      <x:c r="H6" s="62"/>
      <x:c r="I6" s="62" t="str">
        <x:v>Growth</x:v>
      </x:c>
      <x:c r="J6" s="75"/>
      <x:c r="K6" s="76" t="n">
        <x:f>MAX(-0.20,MIN(0.35,'06_DRIVERS'!$J$4*1+0))</x:f>
        <x:v>0.016</x:v>
      </x:c>
      <x:c r="L6" s="76" t="n">
        <x:f>MAX(-0.20,MIN(0.35,'06_DRIVERS'!$J$4*0.9+0))</x:f>
        <x:v>0.014400000000000001</x:v>
      </x:c>
      <x:c r="M6" s="76" t="n">
        <x:f>MAX(-0.20,MIN(0.35,'06_DRIVERS'!$J$4*0.8+0))</x:f>
        <x:v>0.0128</x:v>
      </x:c>
      <x:c r="N6" s="76" t="n">
        <x:f>MAX(-0.20,MIN(0.35,'06_DRIVERS'!$J$4*0.7+0))</x:f>
        <x:v>0.0112</x:v>
      </x:c>
      <x:c r="O6" s="76" t="n">
        <x:f>MAX(-0.20,MIN(0.35,'06_DRIVERS'!$J$4*0.6+0))</x:f>
        <x:v>0.0096</x:v>
      </x:c>
      <x:c r="P6" s="62"/>
      <x:c r="Q6" s="62" t="str">
        <x:v>Growth</x:v>
      </x:c>
      <x:c r="R6" s="75"/>
      <x:c r="S6" s="76" t="n">
        <x:f>MAX(-0.20,MIN(0.35,'06_DRIVERS'!$J$4*1+0.035))</x:f>
        <x:v>0.051000000000000004</x:v>
      </x:c>
      <x:c r="T6" s="76" t="n">
        <x:f>MAX(-0.20,MIN(0.35,'06_DRIVERS'!$J$4*0.9+0.035))</x:f>
        <x:v>0.049400000000000006</x:v>
      </x:c>
      <x:c r="U6" s="76" t="n">
        <x:f>MAX(-0.20,MIN(0.35,'06_DRIVERS'!$J$4*0.8+0.035))</x:f>
        <x:v>0.0478</x:v>
      </x:c>
      <x:c r="V6" s="76" t="n">
        <x:f>MAX(-0.20,MIN(0.35,'06_DRIVERS'!$J$4*0.7+0.035))</x:f>
        <x:v>0.046200000000000005</x:v>
      </x:c>
      <x:c r="W6" s="76" t="n">
        <x:f>MAX(-0.20,MIN(0.35,'06_DRIVERS'!$J$4*0.6+0.035))</x:f>
        <x:v>0.0446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-0.0146</x:v>
      </x:c>
      <x:c r="D7" s="76" t="n">
        <x:f>MAX(-0.30,MIN(0.50,'03_NORMALIZACION'!$E$9+('06_DRIVERS'!$J$5-'03_NORMALIZACION'!$E$9)*0.4+-0.025))</x:f>
        <x:v>-0.004199999999999999</x:v>
      </x:c>
      <x:c r="E7" s="76" t="n">
        <x:f>MAX(-0.30,MIN(0.50,'03_NORMALIZACION'!$E$9+('06_DRIVERS'!$J$5-'03_NORMALIZACION'!$E$9)*0.6+-0.025))</x:f>
        <x:v>0.006200000000000001</x:v>
      </x:c>
      <x:c r="F7" s="76" t="n">
        <x:f>MAX(-0.30,MIN(0.50,'03_NORMALIZACION'!$E$9+('06_DRIVERS'!$J$5-'03_NORMALIZACION'!$E$9)*0.8+-0.025))</x:f>
        <x:v>0.016600000000000004</x:v>
      </x:c>
      <x:c r="G7" s="76" t="n">
        <x:f>MAX(-0.30,MIN(0.50,'03_NORMALIZACION'!$E$9+('06_DRIVERS'!$J$5-'03_NORMALIZACION'!$E$9)*1.0+-0.025))</x:f>
        <x:v>0.027000000000000003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0.010400000000000001</x:v>
      </x:c>
      <x:c r="L7" s="76" t="n">
        <x:f>MAX(-0.30,MIN(0.50,'03_NORMALIZACION'!$E$9+('06_DRIVERS'!$J$5-'03_NORMALIZACION'!$E$9)*0.4+0))</x:f>
        <x:v>0.020800000000000003</x:v>
      </x:c>
      <x:c r="M7" s="76" t="n">
        <x:f>MAX(-0.30,MIN(0.50,'03_NORMALIZACION'!$E$9+('06_DRIVERS'!$J$5-'03_NORMALIZACION'!$E$9)*0.6+0))</x:f>
        <x:v>0.031200000000000002</x:v>
      </x:c>
      <x:c r="N7" s="76" t="n">
        <x:f>MAX(-0.30,MIN(0.50,'03_NORMALIZACION'!$E$9+('06_DRIVERS'!$J$5-'03_NORMALIZACION'!$E$9)*0.8+0))</x:f>
        <x:v>0.041600000000000005</x:v>
      </x:c>
      <x:c r="O7" s="76" t="n">
        <x:f>MAX(-0.30,MIN(0.50,'03_NORMALIZACION'!$E$9+('06_DRIVERS'!$J$5-'03_NORMALIZACION'!$E$9)*1.0+0))</x:f>
        <x:v>0.052000000000000005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0.0354</x:v>
      </x:c>
      <x:c r="T7" s="76" t="n">
        <x:f>MAX(-0.30,MIN(0.50,'03_NORMALIZACION'!$E$9+('06_DRIVERS'!$J$5-'03_NORMALIZACION'!$E$9)*0.4+0.025))</x:f>
        <x:v>0.04580000000000001</x:v>
      </x:c>
      <x:c r="U7" s="76" t="n">
        <x:f>MAX(-0.30,MIN(0.50,'03_NORMALIZACION'!$E$9+('06_DRIVERS'!$J$5-'03_NORMALIZACION'!$E$9)*0.6+0.025))</x:f>
        <x:v>0.0562</x:v>
      </x:c>
      <x:c r="V7" s="76" t="n">
        <x:f>MAX(-0.30,MIN(0.50,'03_NORMALIZACION'!$E$9+('06_DRIVERS'!$J$5-'03_NORMALIZACION'!$E$9)*0.8+0.025))</x:f>
        <x:v>0.0666</x:v>
      </x:c>
      <x:c r="W7" s="76" t="n">
        <x:f>MAX(-0.30,MIN(0.50,'03_NORMALIZACION'!$E$9+('06_DRIVERS'!$J$5-'03_NORMALIZACION'!$E$9)*1.0+0.025))</x:f>
        <x:v>0.07700000000000001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05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sector_metrics.units_sold.fy3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sector_metrics.units_sold.fy2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sector_metrics.units_sold.fy1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sector_metrics.units_sold.fy0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sector_metrics.average_selling_price.fy3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sector_metrics.average_selling_price.fy2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sector_metrics.average_selling_price.fy1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sector_metrics.average_selling_price.fy0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sector_metrics.ev_mix.fy3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sector_metrics.ev_mix.fy2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sector_metrics.ev_mix.fy1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sector_metrics.ev_mix.fy0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sector_metrics.capacity_utilization.fy3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sector_metrics.capacity_utilization.fy2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sector_metrics.capacity_utilization.fy1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sector_metrics.capacity_utilization.fy0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sector_metrics.warranty_to_revenue.fy3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sector_metrics.warranty_to_revenue.fy2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sector_metrics.warranty_to_revenue.fy1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sector_metrics.warranty_to_revenue.fy0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