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e4325c355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05283902c7f143e4"/>
    <x:sheet xmlns:r="http://schemas.openxmlformats.org/officeDocument/2006/relationships" name="01_CONTROL" sheetId="2" r:id="R321611a2eefe4651"/>
    <x:sheet xmlns:r="http://schemas.openxmlformats.org/officeDocument/2006/relationships" name="02_DATOS_RAW" sheetId="3" r:id="R84a1f5df90c64057"/>
    <x:sheet xmlns:r="http://schemas.openxmlformats.org/officeDocument/2006/relationships" name="03_NORMALIZACION" sheetId="4" r:id="R559cc0177c14493e"/>
    <x:sheet xmlns:r="http://schemas.openxmlformats.org/officeDocument/2006/relationships" name="04_METRICAS_SECTOR" sheetId="5" r:id="R66813923d5394eb0"/>
    <x:sheet xmlns:r="http://schemas.openxmlformats.org/officeDocument/2006/relationships" name="05_AJUSTES_NOTICIAS" sheetId="6" r:id="Rd8f92ca50a61421f"/>
    <x:sheet xmlns:r="http://schemas.openxmlformats.org/officeDocument/2006/relationships" name="06_DRIVERS" sheetId="7" r:id="R2383db4796354542"/>
    <x:sheet xmlns:r="http://schemas.openxmlformats.org/officeDocument/2006/relationships" name="07_WACC" sheetId="8" r:id="Rdda040324ca4401a"/>
    <x:sheet xmlns:r="http://schemas.openxmlformats.org/officeDocument/2006/relationships" name="08_PROYECCIONES" sheetId="9" r:id="Rf20b4235958e4e45"/>
    <x:sheet xmlns:r="http://schemas.openxmlformats.org/officeDocument/2006/relationships" name="09_VALORACION" sheetId="10" r:id="Re7405a54ca9b40a8"/>
    <x:sheet xmlns:r="http://schemas.openxmlformats.org/officeDocument/2006/relationships" name="10_RESULTADO" sheetId="11" r:id="R891dc9ed7a2642ee"/>
    <x:sheet xmlns:r="http://schemas.openxmlformats.org/officeDocument/2006/relationships" name="11_OUTPUT_API" sheetId="12" r:id="R571039f751df4fc9"/>
    <x:sheet xmlns:r="http://schemas.openxmlformats.org/officeDocument/2006/relationships" name="12_MAPEO_SOFTWARE" sheetId="13" r:id="R76463dd5378a4c48"/>
    <x:sheet xmlns:r="http://schemas.openxmlformats.org/officeDocument/2006/relationships" name="13_VALIDACIONES" sheetId="14" r:id="Rca853d6e2d85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d42c4af054c93" /><Relationship Type="http://schemas.openxmlformats.org/officeDocument/2006/relationships/theme" Target="/xl/theme/theme1.xml" Id="Rbecae0b5699d403c" /><Relationship Type="http://schemas.openxmlformats.org/officeDocument/2006/relationships/sharedStrings" Target="/xl/sharedStrings.xml" Id="R6c84d0658f904705" /><Relationship Type="http://schemas.openxmlformats.org/officeDocument/2006/relationships/worksheet" Target="/xl/worksheets/sheet1.xml" Id="R05283902c7f143e4" /><Relationship Type="http://schemas.openxmlformats.org/officeDocument/2006/relationships/worksheet" Target="/xl/worksheets/sheet2.xml" Id="R321611a2eefe4651" /><Relationship Type="http://schemas.openxmlformats.org/officeDocument/2006/relationships/worksheet" Target="/xl/worksheets/sheet3.xml" Id="R84a1f5df90c64057" /><Relationship Type="http://schemas.openxmlformats.org/officeDocument/2006/relationships/worksheet" Target="/xl/worksheets/sheet4.xml" Id="R559cc0177c14493e" /><Relationship Type="http://schemas.openxmlformats.org/officeDocument/2006/relationships/worksheet" Target="/xl/worksheets/sheet5.xml" Id="R66813923d5394eb0" /><Relationship Type="http://schemas.openxmlformats.org/officeDocument/2006/relationships/worksheet" Target="/xl/worksheets/sheet6.xml" Id="Rd8f92ca50a61421f" /><Relationship Type="http://schemas.openxmlformats.org/officeDocument/2006/relationships/worksheet" Target="/xl/worksheets/sheet7.xml" Id="R2383db4796354542" /><Relationship Type="http://schemas.openxmlformats.org/officeDocument/2006/relationships/worksheet" Target="/xl/worksheets/sheet8.xml" Id="Rdda040324ca4401a" /><Relationship Type="http://schemas.openxmlformats.org/officeDocument/2006/relationships/worksheet" Target="/xl/worksheets/sheet9.xml" Id="Rf20b4235958e4e45" /><Relationship Type="http://schemas.openxmlformats.org/officeDocument/2006/relationships/worksheet" Target="/xl/worksheets/sheet10.xml" Id="Re7405a54ca9b40a8" /><Relationship Type="http://schemas.openxmlformats.org/officeDocument/2006/relationships/worksheet" Target="/xl/worksheets/sheet11.xml" Id="R891dc9ed7a2642ee" /><Relationship Type="http://schemas.openxmlformats.org/officeDocument/2006/relationships/worksheet" Target="/xl/worksheets/sheet12.xml" Id="R571039f751df4fc9" /><Relationship Type="http://schemas.openxmlformats.org/officeDocument/2006/relationships/worksheet" Target="/xl/worksheets/sheet13.xml" Id="R76463dd5378a4c48" /><Relationship Type="http://schemas.openxmlformats.org/officeDocument/2006/relationships/worksheet" Target="/xl/worksheets/sheet14.xml" Id="Rca853d6e2d854b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06 — CONSUMO DISCRECIONAL / RETAIL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06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Consumo discrecional / retail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FCFF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06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FCFF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FCFF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CONSUMO DISCRECIONAL / RETAIL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same_store_sales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average_ticket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traffic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inventory_to_revenue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store_margin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net_store_openings</x:v>
      </x:c>
      <x:c r="B9" s="68" t="str"/>
      <x:c r="C9" s="68" t="str"/>
      <x:c r="D9" s="68" t="str"/>
      <x:c r="E9" s="68" t="str"/>
      <x:c r="F9" s="68" t="str">
        <x:v>según métrica</x:v>
      </x:c>
      <x:c r="G9" s="68" t="str"/>
      <x:c r="H9" s="68" t="str"/>
      <x:c r="I9" s="68" t="str">
        <x:v>MEDIUM</x:v>
      </x:c>
      <x:c r="J9" s="68" t="str">
        <x:v>NO</x:v>
      </x:c>
      <x:c r="K9" s="68" t="str">
        <x:v>INFORMATIVO</x:v>
      </x:c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9">
      <x:formula1>"HIGH,MEDIUM,LOW"</x:formula1>
    </x:dataValidation>
    <x:dataValidation type="list" sqref="J4:J9">
      <x:formula1>"YES,NO"</x:formula1>
    </x:dataValidation>
    <x:dataValidation type="list" sqref="K4:K9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0.05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0.020000000000000004</x:v>
      </x:c>
      <x:c r="J4" s="76" t="n">
        <x:f>MAX(K4,MIN(L4,I4+H4))</x:f>
        <x:v>0.020000000000000004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0.09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0.058499999999999996</x:v>
      </x:c>
      <x:c r="J5" s="76" t="n">
        <x:f>MAX(K5,MIN(L5,I5+H5))</x:f>
        <x:v>0.058499999999999996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0.028000000000000004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0.007000000000000001</x:v>
      </x:c>
      <x:c r="J7" s="76" t="n">
        <x:f>MAX(K7,MIN(L7,I7+H7))</x:f>
        <x:v>0.007000000000000001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0.035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0.035</x:v>
      </x:c>
      <x:c r="J8" s="76" t="n">
        <x:f>MAX(K8,MIN(L8,I8+H8))</x:f>
        <x:v>0.035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0.015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0.00375</x:v>
      </x:c>
      <x:c r="J9" s="76" t="n">
        <x:f>MAX(K9,MIN(L9,I9+H9))</x:f>
        <x:v>0.00375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0.0225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0.0225</x:v>
      </x:c>
      <x:c r="J10" s="76" t="n">
        <x:f>MAX(K10,MIN(L10,I10+H10))</x:f>
        <x:v>0.0225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9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9</x:v>
      </x:c>
      <x:c r="J12" s="78" t="n">
        <x:f>MAX(K12,MIN(L12,I12+H12))</x:f>
        <x:v>9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-0.015</x:v>
      </x:c>
      <x:c r="D6" s="76" t="n">
        <x:f>MAX(-0.20,MIN(0.35,'06_DRIVERS'!$J$4*0.9+-0.035))</x:f>
        <x:v>-0.016999999999999998</x:v>
      </x:c>
      <x:c r="E6" s="76" t="n">
        <x:f>MAX(-0.20,MIN(0.35,'06_DRIVERS'!$J$4*0.8+-0.035))</x:f>
        <x:v>-0.019</x:v>
      </x:c>
      <x:c r="F6" s="76" t="n">
        <x:f>MAX(-0.20,MIN(0.35,'06_DRIVERS'!$J$4*0.7+-0.035))</x:f>
        <x:v>-0.021</x:v>
      </x:c>
      <x:c r="G6" s="76" t="n">
        <x:f>MAX(-0.20,MIN(0.35,'06_DRIVERS'!$J$4*0.6+-0.035))</x:f>
        <x:v>-0.023</x:v>
      </x:c>
      <x:c r="H6" s="62"/>
      <x:c r="I6" s="62" t="str">
        <x:v>Growth</x:v>
      </x:c>
      <x:c r="J6" s="75"/>
      <x:c r="K6" s="76" t="n">
        <x:f>MAX(-0.20,MIN(0.35,'06_DRIVERS'!$J$4*1+0))</x:f>
        <x:v>0.020000000000000004</x:v>
      </x:c>
      <x:c r="L6" s="76" t="n">
        <x:f>MAX(-0.20,MIN(0.35,'06_DRIVERS'!$J$4*0.9+0))</x:f>
        <x:v>0.018000000000000006</x:v>
      </x:c>
      <x:c r="M6" s="76" t="n">
        <x:f>MAX(-0.20,MIN(0.35,'06_DRIVERS'!$J$4*0.8+0))</x:f>
        <x:v>0.016000000000000004</x:v>
      </x:c>
      <x:c r="N6" s="76" t="n">
        <x:f>MAX(-0.20,MIN(0.35,'06_DRIVERS'!$J$4*0.7+0))</x:f>
        <x:v>0.014000000000000002</x:v>
      </x:c>
      <x:c r="O6" s="76" t="n">
        <x:f>MAX(-0.20,MIN(0.35,'06_DRIVERS'!$J$4*0.6+0))</x:f>
        <x:v>0.012000000000000002</x:v>
      </x:c>
      <x:c r="P6" s="62"/>
      <x:c r="Q6" s="62" t="str">
        <x:v>Growth</x:v>
      </x:c>
      <x:c r="R6" s="75"/>
      <x:c r="S6" s="76" t="n">
        <x:f>MAX(-0.20,MIN(0.35,'06_DRIVERS'!$J$4*1+0.035))</x:f>
        <x:v>0.05500000000000001</x:v>
      </x:c>
      <x:c r="T6" s="76" t="n">
        <x:f>MAX(-0.20,MIN(0.35,'06_DRIVERS'!$J$4*0.9+0.035))</x:f>
        <x:v>0.053000000000000005</x:v>
      </x:c>
      <x:c r="U6" s="76" t="n">
        <x:f>MAX(-0.20,MIN(0.35,'06_DRIVERS'!$J$4*0.8+0.035))</x:f>
        <x:v>0.051000000000000004</x:v>
      </x:c>
      <x:c r="V6" s="76" t="n">
        <x:f>MAX(-0.20,MIN(0.35,'06_DRIVERS'!$J$4*0.7+0.035))</x:f>
        <x:v>0.049</x:v>
      </x:c>
      <x:c r="W6" s="76" t="n">
        <x:f>MAX(-0.20,MIN(0.35,'06_DRIVERS'!$J$4*0.6+0.035))</x:f>
        <x:v>0.04700000000000001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-0.013300000000000001</x:v>
      </x:c>
      <x:c r="D7" s="76" t="n">
        <x:f>MAX(-0.30,MIN(0.50,'03_NORMALIZACION'!$E$9+('06_DRIVERS'!$J$5-'03_NORMALIZACION'!$E$9)*0.4+-0.025))</x:f>
        <x:v>-0.0016000000000000007</x:v>
      </x:c>
      <x:c r="E7" s="76" t="n">
        <x:f>MAX(-0.30,MIN(0.50,'03_NORMALIZACION'!$E$9+('06_DRIVERS'!$J$5-'03_NORMALIZACION'!$E$9)*0.6+-0.025))</x:f>
        <x:v>0.010099999999999998</x:v>
      </x:c>
      <x:c r="F7" s="76" t="n">
        <x:f>MAX(-0.30,MIN(0.50,'03_NORMALIZACION'!$E$9+('06_DRIVERS'!$J$5-'03_NORMALIZACION'!$E$9)*0.8+-0.025))</x:f>
        <x:v>0.0218</x:v>
      </x:c>
      <x:c r="G7" s="76" t="n">
        <x:f>MAX(-0.30,MIN(0.50,'03_NORMALIZACION'!$E$9+('06_DRIVERS'!$J$5-'03_NORMALIZACION'!$E$9)*1.0+-0.025))</x:f>
        <x:v>0.033499999999999995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0.0117</x:v>
      </x:c>
      <x:c r="L7" s="76" t="n">
        <x:f>MAX(-0.30,MIN(0.50,'03_NORMALIZACION'!$E$9+('06_DRIVERS'!$J$5-'03_NORMALIZACION'!$E$9)*0.4+0))</x:f>
        <x:v>0.0234</x:v>
      </x:c>
      <x:c r="M7" s="76" t="n">
        <x:f>MAX(-0.30,MIN(0.50,'03_NORMALIZACION'!$E$9+('06_DRIVERS'!$J$5-'03_NORMALIZACION'!$E$9)*0.6+0))</x:f>
        <x:v>0.0351</x:v>
      </x:c>
      <x:c r="N7" s="76" t="n">
        <x:f>MAX(-0.30,MIN(0.50,'03_NORMALIZACION'!$E$9+('06_DRIVERS'!$J$5-'03_NORMALIZACION'!$E$9)*0.8+0))</x:f>
        <x:v>0.0468</x:v>
      </x:c>
      <x:c r="O7" s="76" t="n">
        <x:f>MAX(-0.30,MIN(0.50,'03_NORMALIZACION'!$E$9+('06_DRIVERS'!$J$5-'03_NORMALIZACION'!$E$9)*1.0+0))</x:f>
        <x:v>0.058499999999999996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0.0367</x:v>
      </x:c>
      <x:c r="T7" s="76" t="n">
        <x:f>MAX(-0.30,MIN(0.50,'03_NORMALIZACION'!$E$9+('06_DRIVERS'!$J$5-'03_NORMALIZACION'!$E$9)*0.4+0.025))</x:f>
        <x:v>0.0484</x:v>
      </x:c>
      <x:c r="U7" s="76" t="n">
        <x:f>MAX(-0.30,MIN(0.50,'03_NORMALIZACION'!$E$9+('06_DRIVERS'!$J$5-'03_NORMALIZACION'!$E$9)*0.6+0.025))</x:f>
        <x:v>0.0601</x:v>
      </x:c>
      <x:c r="V7" s="76" t="n">
        <x:f>MAX(-0.30,MIN(0.50,'03_NORMALIZACION'!$E$9+('06_DRIVERS'!$J$5-'03_NORMALIZACION'!$E$9)*0.8+0.025))</x:f>
        <x:v>0.0718</x:v>
      </x:c>
      <x:c r="W7" s="76" t="n">
        <x:f>MAX(-0.30,MIN(0.50,'03_NORMALIZACION'!$E$9+('06_DRIVERS'!$J$5-'03_NORMALIZACION'!$E$9)*1.0+0.025))</x:f>
        <x:v>0.08349999999999999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FCFF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FCFF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06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0.0225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sector_metrics.same_store_sales.fy3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sector_metrics.same_store_sales.fy2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sector_metrics.same_store_sales.fy1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sector_metrics.same_store_sales.fy0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sector_metrics.average_ticket.fy3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sector_metrics.average_ticket.fy2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sector_metrics.average_ticket.fy1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sector_metrics.average_ticket.fy0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sector_metrics.traffic.fy3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sector_metrics.traffic.fy2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sector_metrics.traffic.fy1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sector_metrics.traffic.fy0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sector_metrics.inventory_to_revenue.fy3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sector_metrics.inventory_to_revenue.fy2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sector_metrics.inventory_to_revenue.fy1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sector_metrics.inventory_to_revenue.fy0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sector_metrics.store_margin.fy3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sector_metrics.store_margin.fy2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sector_metrics.store_margin.fy1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sector_metrics.store_margin.fy0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4" t="str">
        <x:v>sector_metrics.net_store_openings.fy3</x:v>
      </x:c>
      <x:c r="B111" s="64" t="str">
        <x:v>04_METRICAS_SECTOR</x:v>
      </x:c>
      <x:c r="C111" s="64" t="str">
        <x:v>B9</x:v>
      </x:c>
      <x:c r="D111" s="64" t="str">
        <x:v>number</x:v>
      </x:c>
      <x:c r="E111" s="64" t="str">
        <x:v>según métrica</x:v>
      </x:c>
      <x:c r="F111" s="64" t="str">
        <x:v>No</x:v>
      </x:c>
      <x:c r="G111" s="64" t="str">
        <x:v>filing/API</x:v>
      </x:c>
      <x:c r="H111" s="64" t="str">
        <x:v>coherencia</x:v>
      </x:c>
      <x:c r="I111" s="64" t="str">
        <x:v>MEDIA</x:v>
      </x:c>
      <x:c r="J111" s="64" t="str">
        <x:v>Sí</x:v>
      </x:c>
      <x:c r="K111" s="64" t="str"/>
      <x:c r="L111" s="64" t="str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4" t="str">
        <x:v>expected_family</x:v>
      </x:c>
      <x:c r="B112" s="64" t="str">
        <x:v>01_CONTROL</x:v>
      </x:c>
      <x:c r="C112" s="64" t="str">
        <x:v>B21</x:v>
      </x:c>
      <x:c r="D112" s="64" t="str">
        <x:v>string</x:v>
      </x:c>
      <x:c r="E112" s="64" t="str"/>
      <x:c r="F112" s="64" t="str">
        <x:v>Sí</x:v>
      </x:c>
      <x:c r="G112" s="64" t="str">
        <x:v>template</x:v>
      </x:c>
      <x:c r="H112" s="64" t="str">
        <x:v>fixed</x:v>
      </x:c>
      <x:c r="I112" s="64" t="str">
        <x:v>HIGH</x:v>
      </x:c>
      <x:c r="J112" s="64" t="str">
        <x:v>No</x:v>
      </x:c>
      <x:c r="K112" s="64" t="str"/>
      <x:c r="L112" s="64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4" t="str">
        <x:v>valuation_method_family</x:v>
      </x:c>
      <x:c r="B113" s="64" t="str">
        <x:v>01_CONTROL</x:v>
      </x:c>
      <x:c r="C113" s="64" t="str">
        <x:v>B22</x:v>
      </x:c>
      <x:c r="D113" s="64" t="str">
        <x:v>string</x:v>
      </x:c>
      <x:c r="E113" s="64" t="str"/>
      <x:c r="F113" s="64" t="str">
        <x:v>Sí</x:v>
      </x:c>
      <x:c r="G113" s="64" t="str">
        <x:v>template</x:v>
      </x:c>
      <x:c r="H113" s="64" t="str">
        <x:v>must_equal_expected</x:v>
      </x:c>
      <x:c r="I113" s="64" t="str">
        <x:v>HIGH</x:v>
      </x:c>
      <x:c r="J113" s="64" t="str">
        <x:v>No</x:v>
      </x:c>
      <x:c r="K113" s="64" t="str"/>
      <x:c r="L113" s="64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4" t="str">
        <x:v>valuation_run_id</x:v>
      </x:c>
      <x:c r="B114" s="64" t="str">
        <x:v>01_CONTROL</x:v>
      </x:c>
      <x:c r="C114" s="64" t="str">
        <x:v>B23</x:v>
      </x:c>
      <x:c r="D114" s="64" t="str">
        <x:v>string</x:v>
      </x:c>
      <x:c r="E114" s="64" t="str"/>
      <x:c r="F114" s="64" t="str">
        <x:v>Sí</x:v>
      </x:c>
      <x:c r="G114" s="64" t="str">
        <x:v>backend</x:v>
      </x:c>
      <x:c r="H114" s="64" t="str">
        <x:v>no vacío</x:v>
      </x:c>
      <x:c r="I114" s="64" t="str">
        <x:v>HIGH</x:v>
      </x:c>
      <x:c r="J114" s="64" t="str">
        <x:v>Sí</x:v>
      </x:c>
      <x:c r="K114" s="64" t="str"/>
      <x:c r="L114" s="64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FCFF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