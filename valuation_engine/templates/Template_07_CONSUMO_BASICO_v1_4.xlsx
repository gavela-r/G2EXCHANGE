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0447fd0f3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f712e1c3342a47cd"/>
    <x:sheet xmlns:r="http://schemas.openxmlformats.org/officeDocument/2006/relationships" name="01_CONTROL" sheetId="2" r:id="Rf484511bf69b4c58"/>
    <x:sheet xmlns:r="http://schemas.openxmlformats.org/officeDocument/2006/relationships" name="02_DATOS_RAW" sheetId="3" r:id="Rbcb2e03a089c4ee8"/>
    <x:sheet xmlns:r="http://schemas.openxmlformats.org/officeDocument/2006/relationships" name="03_NORMALIZACION" sheetId="4" r:id="R4e8c10a564d744ca"/>
    <x:sheet xmlns:r="http://schemas.openxmlformats.org/officeDocument/2006/relationships" name="04_METRICAS_SECTOR" sheetId="5" r:id="R734663ace6904fa6"/>
    <x:sheet xmlns:r="http://schemas.openxmlformats.org/officeDocument/2006/relationships" name="05_AJUSTES_NOTICIAS" sheetId="6" r:id="R3259bbecd06d4c8b"/>
    <x:sheet xmlns:r="http://schemas.openxmlformats.org/officeDocument/2006/relationships" name="06_DRIVERS" sheetId="7" r:id="R1561568cce214264"/>
    <x:sheet xmlns:r="http://schemas.openxmlformats.org/officeDocument/2006/relationships" name="07_WACC" sheetId="8" r:id="R5534fb25d1934c10"/>
    <x:sheet xmlns:r="http://schemas.openxmlformats.org/officeDocument/2006/relationships" name="08_PROYECCIONES" sheetId="9" r:id="R36d9e1cbcb2347e2"/>
    <x:sheet xmlns:r="http://schemas.openxmlformats.org/officeDocument/2006/relationships" name="09_VALORACION" sheetId="10" r:id="R3d58c8119e9a44d2"/>
    <x:sheet xmlns:r="http://schemas.openxmlformats.org/officeDocument/2006/relationships" name="10_RESULTADO" sheetId="11" r:id="R32228990b50f49ef"/>
    <x:sheet xmlns:r="http://schemas.openxmlformats.org/officeDocument/2006/relationships" name="11_OUTPUT_API" sheetId="12" r:id="Radd3289734b94bc2"/>
    <x:sheet xmlns:r="http://schemas.openxmlformats.org/officeDocument/2006/relationships" name="12_MAPEO_SOFTWARE" sheetId="13" r:id="R21339cdcbc6347b9"/>
    <x:sheet xmlns:r="http://schemas.openxmlformats.org/officeDocument/2006/relationships" name="13_VALIDACIONES" sheetId="14" r:id="Re3571088be27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61a8cfa804be1" /><Relationship Type="http://schemas.openxmlformats.org/officeDocument/2006/relationships/theme" Target="/xl/theme/theme1.xml" Id="R21a6917c5b324637" /><Relationship Type="http://schemas.openxmlformats.org/officeDocument/2006/relationships/sharedStrings" Target="/xl/sharedStrings.xml" Id="R30c251109feb4e63" /><Relationship Type="http://schemas.openxmlformats.org/officeDocument/2006/relationships/worksheet" Target="/xl/worksheets/sheet1.xml" Id="Rf712e1c3342a47cd" /><Relationship Type="http://schemas.openxmlformats.org/officeDocument/2006/relationships/worksheet" Target="/xl/worksheets/sheet2.xml" Id="Rf484511bf69b4c58" /><Relationship Type="http://schemas.openxmlformats.org/officeDocument/2006/relationships/worksheet" Target="/xl/worksheets/sheet3.xml" Id="Rbcb2e03a089c4ee8" /><Relationship Type="http://schemas.openxmlformats.org/officeDocument/2006/relationships/worksheet" Target="/xl/worksheets/sheet4.xml" Id="R4e8c10a564d744ca" /><Relationship Type="http://schemas.openxmlformats.org/officeDocument/2006/relationships/worksheet" Target="/xl/worksheets/sheet5.xml" Id="R734663ace6904fa6" /><Relationship Type="http://schemas.openxmlformats.org/officeDocument/2006/relationships/worksheet" Target="/xl/worksheets/sheet6.xml" Id="R3259bbecd06d4c8b" /><Relationship Type="http://schemas.openxmlformats.org/officeDocument/2006/relationships/worksheet" Target="/xl/worksheets/sheet7.xml" Id="R1561568cce214264" /><Relationship Type="http://schemas.openxmlformats.org/officeDocument/2006/relationships/worksheet" Target="/xl/worksheets/sheet8.xml" Id="R5534fb25d1934c10" /><Relationship Type="http://schemas.openxmlformats.org/officeDocument/2006/relationships/worksheet" Target="/xl/worksheets/sheet9.xml" Id="R36d9e1cbcb2347e2" /><Relationship Type="http://schemas.openxmlformats.org/officeDocument/2006/relationships/worksheet" Target="/xl/worksheets/sheet10.xml" Id="R3d58c8119e9a44d2" /><Relationship Type="http://schemas.openxmlformats.org/officeDocument/2006/relationships/worksheet" Target="/xl/worksheets/sheet11.xml" Id="R32228990b50f49ef" /><Relationship Type="http://schemas.openxmlformats.org/officeDocument/2006/relationships/worksheet" Target="/xl/worksheets/sheet12.xml" Id="Radd3289734b94bc2" /><Relationship Type="http://schemas.openxmlformats.org/officeDocument/2006/relationships/worksheet" Target="/xl/worksheets/sheet13.xml" Id="R21339cdcbc6347b9" /><Relationship Type="http://schemas.openxmlformats.org/officeDocument/2006/relationships/worksheet" Target="/xl/worksheets/sheet14.xml" Id="Re3571088be274d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07 — CONSUMO BÁSICO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07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Consumo básico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07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CONSUMO BÁSICO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volume_growth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price_mix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distribution_points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market_share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commodity_cost_index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8">
      <x:formula1>"HIGH,MEDIUM,LOW"</x:formula1>
    </x:dataValidation>
    <x:dataValidation type="list" sqref="J4:J8">
      <x:formula1>"YES,NO"</x:formula1>
    </x:dataValidation>
    <x:dataValidation type="list" sqref="K4:K8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0.035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0.014000000000000002</x:v>
      </x:c>
      <x:c r="J4" s="76" t="n">
        <x:f>MAX(K4,MIN(L4,I4+H4))</x:f>
        <x:v>0.014000000000000002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0.14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0.09100000000000001</x:v>
      </x:c>
      <x:c r="J5" s="76" t="n">
        <x:f>MAX(K5,MIN(L5,I5+H5))</x:f>
        <x:v>0.09100000000000001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0.024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0.006</x:v>
      </x:c>
      <x:c r="J7" s="76" t="n">
        <x:f>MAX(K7,MIN(L7,I7+H7))</x:f>
        <x:v>0.006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0.03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0.03</x:v>
      </x:c>
      <x:c r="J8" s="76" t="n">
        <x:f>MAX(K8,MIN(L8,I8+H8))</x:f>
        <x:v>0.03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0.0025</x:v>
      </x:c>
      <x:c r="J9" s="76" t="n">
        <x:f>MAX(K9,MIN(L9,I9+H9))</x:f>
        <x:v>0.0025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</x:v>
      </x:c>
      <x:c r="J10" s="76" t="n">
        <x:f>MAX(K10,MIN(L10,I10+H10))</x:f>
        <x:v>0.02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12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12</x:v>
      </x:c>
      <x:c r="J12" s="78" t="n">
        <x:f>MAX(K12,MIN(L12,I12+H12))</x:f>
        <x:v>12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-0.021</x:v>
      </x:c>
      <x:c r="D6" s="76" t="n">
        <x:f>MAX(-0.20,MIN(0.35,'06_DRIVERS'!$J$4*0.9+-0.035))</x:f>
        <x:v>-0.022400000000000003</x:v>
      </x:c>
      <x:c r="E6" s="76" t="n">
        <x:f>MAX(-0.20,MIN(0.35,'06_DRIVERS'!$J$4*0.8+-0.035))</x:f>
        <x:v>-0.0238</x:v>
      </x:c>
      <x:c r="F6" s="76" t="n">
        <x:f>MAX(-0.20,MIN(0.35,'06_DRIVERS'!$J$4*0.7+-0.035))</x:f>
        <x:v>-0.0252</x:v>
      </x:c>
      <x:c r="G6" s="76" t="n">
        <x:f>MAX(-0.20,MIN(0.35,'06_DRIVERS'!$J$4*0.6+-0.035))</x:f>
        <x:v>-0.026600000000000002</x:v>
      </x:c>
      <x:c r="H6" s="62"/>
      <x:c r="I6" s="62" t="str">
        <x:v>Growth</x:v>
      </x:c>
      <x:c r="J6" s="75"/>
      <x:c r="K6" s="76" t="n">
        <x:f>MAX(-0.20,MIN(0.35,'06_DRIVERS'!$J$4*1+0))</x:f>
        <x:v>0.014000000000000002</x:v>
      </x:c>
      <x:c r="L6" s="76" t="n">
        <x:f>MAX(-0.20,MIN(0.35,'06_DRIVERS'!$J$4*0.9+0))</x:f>
        <x:v>0.012600000000000002</x:v>
      </x:c>
      <x:c r="M6" s="76" t="n">
        <x:f>MAX(-0.20,MIN(0.35,'06_DRIVERS'!$J$4*0.8+0))</x:f>
        <x:v>0.011200000000000002</x:v>
      </x:c>
      <x:c r="N6" s="76" t="n">
        <x:f>MAX(-0.20,MIN(0.35,'06_DRIVERS'!$J$4*0.7+0))</x:f>
        <x:v>0.009800000000000001</x:v>
      </x:c>
      <x:c r="O6" s="76" t="n">
        <x:f>MAX(-0.20,MIN(0.35,'06_DRIVERS'!$J$4*0.6+0))</x:f>
        <x:v>0.008400000000000001</x:v>
      </x:c>
      <x:c r="P6" s="62"/>
      <x:c r="Q6" s="62" t="str">
        <x:v>Growth</x:v>
      </x:c>
      <x:c r="R6" s="75"/>
      <x:c r="S6" s="76" t="n">
        <x:f>MAX(-0.20,MIN(0.35,'06_DRIVERS'!$J$4*1+0.035))</x:f>
        <x:v>0.049</x:v>
      </x:c>
      <x:c r="T6" s="76" t="n">
        <x:f>MAX(-0.20,MIN(0.35,'06_DRIVERS'!$J$4*0.9+0.035))</x:f>
        <x:v>0.0476</x:v>
      </x:c>
      <x:c r="U6" s="76" t="n">
        <x:f>MAX(-0.20,MIN(0.35,'06_DRIVERS'!$J$4*0.8+0.035))</x:f>
        <x:v>0.046200000000000005</x:v>
      </x:c>
      <x:c r="V6" s="76" t="n">
        <x:f>MAX(-0.20,MIN(0.35,'06_DRIVERS'!$J$4*0.7+0.035))</x:f>
        <x:v>0.044800000000000006</x:v>
      </x:c>
      <x:c r="W6" s="76" t="n">
        <x:f>MAX(-0.20,MIN(0.35,'06_DRIVERS'!$J$4*0.6+0.035))</x:f>
        <x:v>0.04340000000000001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-0.006799999999999997</x:v>
      </x:c>
      <x:c r="D7" s="76" t="n">
        <x:f>MAX(-0.30,MIN(0.50,'03_NORMALIZACION'!$E$9+('06_DRIVERS'!$J$5-'03_NORMALIZACION'!$E$9)*0.4+-0.025))</x:f>
        <x:v>0.011400000000000007</x:v>
      </x:c>
      <x:c r="E7" s="76" t="n">
        <x:f>MAX(-0.30,MIN(0.50,'03_NORMALIZACION'!$E$9+('06_DRIVERS'!$J$5-'03_NORMALIZACION'!$E$9)*0.6+-0.025))</x:f>
        <x:v>0.0296</x:v>
      </x:c>
      <x:c r="F7" s="76" t="n">
        <x:f>MAX(-0.30,MIN(0.50,'03_NORMALIZACION'!$E$9+('06_DRIVERS'!$J$5-'03_NORMALIZACION'!$E$9)*0.8+-0.025))</x:f>
        <x:v>0.047800000000000016</x:v>
      </x:c>
      <x:c r="G7" s="76" t="n">
        <x:f>MAX(-0.30,MIN(0.50,'03_NORMALIZACION'!$E$9+('06_DRIVERS'!$J$5-'03_NORMALIZACION'!$E$9)*1.0+-0.025))</x:f>
        <x:v>0.066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0.018200000000000004</x:v>
      </x:c>
      <x:c r="L7" s="76" t="n">
        <x:f>MAX(-0.30,MIN(0.50,'03_NORMALIZACION'!$E$9+('06_DRIVERS'!$J$5-'03_NORMALIZACION'!$E$9)*0.4+0))</x:f>
        <x:v>0.03640000000000001</x:v>
      </x:c>
      <x:c r="M7" s="76" t="n">
        <x:f>MAX(-0.30,MIN(0.50,'03_NORMALIZACION'!$E$9+('06_DRIVERS'!$J$5-'03_NORMALIZACION'!$E$9)*0.6+0))</x:f>
        <x:v>0.0546</x:v>
      </x:c>
      <x:c r="N7" s="76" t="n">
        <x:f>MAX(-0.30,MIN(0.50,'03_NORMALIZACION'!$E$9+('06_DRIVERS'!$J$5-'03_NORMALIZACION'!$E$9)*0.8+0))</x:f>
        <x:v>0.07280000000000002</x:v>
      </x:c>
      <x:c r="O7" s="76" t="n">
        <x:f>MAX(-0.30,MIN(0.50,'03_NORMALIZACION'!$E$9+('06_DRIVERS'!$J$5-'03_NORMALIZACION'!$E$9)*1.0+0))</x:f>
        <x:v>0.09100000000000001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0.0432</x:v>
      </x:c>
      <x:c r="T7" s="76" t="n">
        <x:f>MAX(-0.30,MIN(0.50,'03_NORMALIZACION'!$E$9+('06_DRIVERS'!$J$5-'03_NORMALIZACION'!$E$9)*0.4+0.025))</x:f>
        <x:v>0.06140000000000001</x:v>
      </x:c>
      <x:c r="U7" s="76" t="n">
        <x:f>MAX(-0.30,MIN(0.50,'03_NORMALIZACION'!$E$9+('06_DRIVERS'!$J$5-'03_NORMALIZACION'!$E$9)*0.6+0.025))</x:f>
        <x:v>0.0796</x:v>
      </x:c>
      <x:c r="V7" s="76" t="n">
        <x:f>MAX(-0.30,MIN(0.50,'03_NORMALIZACION'!$E$9+('06_DRIVERS'!$J$5-'03_NORMALIZACION'!$E$9)*0.8+0.025))</x:f>
        <x:v>0.09780000000000003</x:v>
      </x:c>
      <x:c r="W7" s="76" t="n">
        <x:f>MAX(-0.30,MIN(0.50,'03_NORMALIZACION'!$E$9+('06_DRIVERS'!$J$5-'03_NORMALIZACION'!$E$9)*1.0+0.025))</x:f>
        <x:v>0.11600000000000002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07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sector_metrics.volume_growth.fy3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sector_metrics.volume_growth.fy2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sector_metrics.volume_growth.fy1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sector_metrics.volume_growth.fy0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sector_metrics.price_mix.fy3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sector_metrics.price_mix.fy2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sector_metrics.price_mix.fy1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sector_metrics.price_mix.fy0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sector_metrics.distribution_points.fy3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sector_metrics.distribution_points.fy2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sector_metrics.distribution_points.fy1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sector_metrics.distribution_points.fy0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sector_metrics.market_share.fy3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sector_metrics.market_share.fy2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sector_metrics.market_share.fy1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sector_metrics.market_share.fy0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sector_metrics.commodity_cost_index.fy3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sector_metrics.commodity_cost_index.fy2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sector_metrics.commodity_cost_index.fy1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sector_metrics.commodity_cost_index.fy0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 t="str">
        <x:v>expected_family</x:v>
      </x:c>
      <x:c r="B112" s="62" t="str">
        <x:v>01_CONTROL</x:v>
      </x:c>
      <x:c r="C112" s="62" t="str">
        <x:v>B21</x:v>
      </x:c>
      <x:c r="D112" s="62" t="str">
        <x:v>string</x:v>
      </x:c>
      <x:c r="E112" s="62" t="str"/>
      <x:c r="F112" s="62" t="str">
        <x:v>Sí</x:v>
      </x:c>
      <x:c r="G112" s="62" t="str">
        <x:v>template</x:v>
      </x:c>
      <x:c r="H112" s="62" t="str">
        <x:v>fixed</x:v>
      </x:c>
      <x:c r="I112" s="62" t="str">
        <x:v>HIGH</x:v>
      </x:c>
      <x:c r="J112" s="62" t="str">
        <x:v>No</x:v>
      </x:c>
      <x:c r="K112" s="62" t="str"/>
      <x:c r="L112" s="62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 t="str">
        <x:v>valuation_method_family</x:v>
      </x:c>
      <x:c r="B113" s="62" t="str">
        <x:v>01_CONTROL</x:v>
      </x:c>
      <x:c r="C113" s="62" t="str">
        <x:v>B22</x:v>
      </x:c>
      <x:c r="D113" s="62" t="str">
        <x:v>string</x:v>
      </x:c>
      <x:c r="E113" s="62" t="str"/>
      <x:c r="F113" s="62" t="str">
        <x:v>Sí</x:v>
      </x:c>
      <x:c r="G113" s="62" t="str">
        <x:v>template</x:v>
      </x:c>
      <x:c r="H113" s="62" t="str">
        <x:v>must_equal_expected</x:v>
      </x:c>
      <x:c r="I113" s="62" t="str">
        <x:v>HIGH</x:v>
      </x:c>
      <x:c r="J113" s="62" t="str">
        <x:v>No</x:v>
      </x:c>
      <x:c r="K113" s="62" t="str"/>
      <x:c r="L113" s="62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 t="str">
        <x:v>valuation_run_id</x:v>
      </x:c>
      <x:c r="B114" s="62" t="str">
        <x:v>01_CONTROL</x:v>
      </x:c>
      <x:c r="C114" s="62" t="str">
        <x:v>B23</x:v>
      </x:c>
      <x:c r="D114" s="62" t="str">
        <x:v>string</x:v>
      </x:c>
      <x:c r="E114" s="62" t="str"/>
      <x:c r="F114" s="62" t="str">
        <x:v>Sí</x:v>
      </x:c>
      <x:c r="G114" s="62" t="str">
        <x:v>backend</x:v>
      </x:c>
      <x:c r="H114" s="62" t="str">
        <x:v>no vacío</x:v>
      </x:c>
      <x:c r="I114" s="62" t="str">
        <x:v>HIGH</x:v>
      </x:c>
      <x:c r="J114" s="62" t="str">
        <x:v>Sí</x:v>
      </x:c>
      <x:c r="K114" s="62" t="str"/>
      <x:c r="L114" s="62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