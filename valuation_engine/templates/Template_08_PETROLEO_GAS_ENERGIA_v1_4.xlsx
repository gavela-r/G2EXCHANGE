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7a304203d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d526b055a3554f14"/>
    <x:sheet xmlns:r="http://schemas.openxmlformats.org/officeDocument/2006/relationships" name="01_CONTROL" sheetId="2" r:id="R2a1f387a26524046"/>
    <x:sheet xmlns:r="http://schemas.openxmlformats.org/officeDocument/2006/relationships" name="02_DATOS_RAW" sheetId="3" r:id="Rcea997760e134aad"/>
    <x:sheet xmlns:r="http://schemas.openxmlformats.org/officeDocument/2006/relationships" name="03_NORMALIZACION" sheetId="4" r:id="R4e8976f9bef3477b"/>
    <x:sheet xmlns:r="http://schemas.openxmlformats.org/officeDocument/2006/relationships" name="04_METRICAS_SECTOR" sheetId="5" r:id="R4a19bb48e1aa4841"/>
    <x:sheet xmlns:r="http://schemas.openxmlformats.org/officeDocument/2006/relationships" name="05_AJUSTES_NOTICIAS" sheetId="6" r:id="R34e989f383764ce4"/>
    <x:sheet xmlns:r="http://schemas.openxmlformats.org/officeDocument/2006/relationships" name="06_DRIVERS" sheetId="7" r:id="R8cac4e7264994a59"/>
    <x:sheet xmlns:r="http://schemas.openxmlformats.org/officeDocument/2006/relationships" name="07_WACC" sheetId="8" r:id="R81f6036d581a471c"/>
    <x:sheet xmlns:r="http://schemas.openxmlformats.org/officeDocument/2006/relationships" name="08_PROYECCIONES" sheetId="9" r:id="Rd5f4b23979424039"/>
    <x:sheet xmlns:r="http://schemas.openxmlformats.org/officeDocument/2006/relationships" name="09_VALORACION" sheetId="10" r:id="R059249f00af14b77"/>
    <x:sheet xmlns:r="http://schemas.openxmlformats.org/officeDocument/2006/relationships" name="10_RESULTADO" sheetId="11" r:id="Rabff23fe5b3d45ba"/>
    <x:sheet xmlns:r="http://schemas.openxmlformats.org/officeDocument/2006/relationships" name="11_OUTPUT_API" sheetId="12" r:id="Ra231380217724707"/>
    <x:sheet xmlns:r="http://schemas.openxmlformats.org/officeDocument/2006/relationships" name="12_MAPEO_SOFTWARE" sheetId="13" r:id="R4510c6c797a34c94"/>
    <x:sheet xmlns:r="http://schemas.openxmlformats.org/officeDocument/2006/relationships" name="13_VALIDACIONES" sheetId="14" r:id="Rcdb7bdb9d999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c1770608a48f7" /><Relationship Type="http://schemas.openxmlformats.org/officeDocument/2006/relationships/theme" Target="/xl/theme/theme1.xml" Id="R030584ba15f84b72" /><Relationship Type="http://schemas.openxmlformats.org/officeDocument/2006/relationships/sharedStrings" Target="/xl/sharedStrings.xml" Id="R2e016e2b87d349c3" /><Relationship Type="http://schemas.openxmlformats.org/officeDocument/2006/relationships/worksheet" Target="/xl/worksheets/sheet1.xml" Id="Rd526b055a3554f14" /><Relationship Type="http://schemas.openxmlformats.org/officeDocument/2006/relationships/worksheet" Target="/xl/worksheets/sheet2.xml" Id="R2a1f387a26524046" /><Relationship Type="http://schemas.openxmlformats.org/officeDocument/2006/relationships/worksheet" Target="/xl/worksheets/sheet3.xml" Id="Rcea997760e134aad" /><Relationship Type="http://schemas.openxmlformats.org/officeDocument/2006/relationships/worksheet" Target="/xl/worksheets/sheet4.xml" Id="R4e8976f9bef3477b" /><Relationship Type="http://schemas.openxmlformats.org/officeDocument/2006/relationships/worksheet" Target="/xl/worksheets/sheet5.xml" Id="R4a19bb48e1aa4841" /><Relationship Type="http://schemas.openxmlformats.org/officeDocument/2006/relationships/worksheet" Target="/xl/worksheets/sheet6.xml" Id="R34e989f383764ce4" /><Relationship Type="http://schemas.openxmlformats.org/officeDocument/2006/relationships/worksheet" Target="/xl/worksheets/sheet7.xml" Id="R8cac4e7264994a59" /><Relationship Type="http://schemas.openxmlformats.org/officeDocument/2006/relationships/worksheet" Target="/xl/worksheets/sheet8.xml" Id="R81f6036d581a471c" /><Relationship Type="http://schemas.openxmlformats.org/officeDocument/2006/relationships/worksheet" Target="/xl/worksheets/sheet9.xml" Id="Rd5f4b23979424039" /><Relationship Type="http://schemas.openxmlformats.org/officeDocument/2006/relationships/worksheet" Target="/xl/worksheets/sheet10.xml" Id="R059249f00af14b77" /><Relationship Type="http://schemas.openxmlformats.org/officeDocument/2006/relationships/worksheet" Target="/xl/worksheets/sheet11.xml" Id="Rabff23fe5b3d45ba" /><Relationship Type="http://schemas.openxmlformats.org/officeDocument/2006/relationships/worksheet" Target="/xl/worksheets/sheet12.xml" Id="Ra231380217724707" /><Relationship Type="http://schemas.openxmlformats.org/officeDocument/2006/relationships/worksheet" Target="/xl/worksheets/sheet13.xml" Id="R4510c6c797a34c94" /><Relationship Type="http://schemas.openxmlformats.org/officeDocument/2006/relationships/worksheet" Target="/xl/worksheets/sheet14.xml" Id="Rcdb7bdb9d99949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08 — PETRÓLEO / GAS / ENERGÍA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08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Petróleo / gas / energía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RESOURCE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08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RESOURCE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RESOURCE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PETRÓLEO / GAS / ENERGÍA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production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proved_reserves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probable_reserves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lifting_cost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reserve_life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realized_price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9">
      <x:formula1>"HIGH,MEDIUM,LOW"</x:formula1>
    </x:dataValidation>
    <x:dataValidation type="list" sqref="J4:J9">
      <x:formula1>"YES,NO"</x:formula1>
    </x:dataValidation>
    <x:dataValidation type="list" sqref="K4:K9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0.02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0.008</x:v>
      </x:c>
      <x:c r="J4" s="76" t="n">
        <x:f>MAX(K4,MIN(L4,I4+H4))</x:f>
        <x:v>0.008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0.22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0.14300000000000002</x:v>
      </x:c>
      <x:c r="J5" s="76" t="n">
        <x:f>MAX(K5,MIN(L5,I5+H5))</x:f>
        <x:v>0.14300000000000002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0.096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0.024</x:v>
      </x:c>
      <x:c r="J7" s="76" t="n">
        <x:f>MAX(K7,MIN(L7,I7+H7))</x:f>
        <x:v>0.024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0.12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0.12</x:v>
      </x:c>
      <x:c r="J8" s="76" t="n">
        <x:f>MAX(K8,MIN(L8,I8+H8))</x:f>
        <x:v>0.12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0.01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0.0025</x:v>
      </x:c>
      <x:c r="J9" s="76" t="n">
        <x:f>MAX(K9,MIN(L9,I9+H9))</x:f>
        <x:v>0.0025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0.015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0.015</x:v>
      </x:c>
      <x:c r="J10" s="76" t="n">
        <x:f>MAX(K10,MIN(L10,I10+H10))</x:f>
        <x:v>0.015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6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6</x:v>
      </x:c>
      <x:c r="J12" s="78" t="n">
        <x:f>MAX(K12,MIN(L12,I12+H12))</x:f>
        <x:v>6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-0.027000000000000003</x:v>
      </x:c>
      <x:c r="D6" s="76" t="n">
        <x:f>MAX(-0.20,MIN(0.35,'06_DRIVERS'!$J$4*0.9+-0.035))</x:f>
        <x:v>-0.027800000000000002</x:v>
      </x:c>
      <x:c r="E6" s="76" t="n">
        <x:f>MAX(-0.20,MIN(0.35,'06_DRIVERS'!$J$4*0.8+-0.035))</x:f>
        <x:v>-0.028600000000000004</x:v>
      </x:c>
      <x:c r="F6" s="76" t="n">
        <x:f>MAX(-0.20,MIN(0.35,'06_DRIVERS'!$J$4*0.7+-0.035))</x:f>
        <x:v>-0.029400000000000003</x:v>
      </x:c>
      <x:c r="G6" s="76" t="n">
        <x:f>MAX(-0.20,MIN(0.35,'06_DRIVERS'!$J$4*0.6+-0.035))</x:f>
        <x:v>-0.030200000000000005</x:v>
      </x:c>
      <x:c r="H6" s="62"/>
      <x:c r="I6" s="62" t="str">
        <x:v>Growth</x:v>
      </x:c>
      <x:c r="J6" s="75"/>
      <x:c r="K6" s="76" t="n">
        <x:f>MAX(-0.20,MIN(0.35,'06_DRIVERS'!$J$4*1+0))</x:f>
        <x:v>0.008</x:v>
      </x:c>
      <x:c r="L6" s="76" t="n">
        <x:f>MAX(-0.20,MIN(0.35,'06_DRIVERS'!$J$4*0.9+0))</x:f>
        <x:v>0.007200000000000001</x:v>
      </x:c>
      <x:c r="M6" s="76" t="n">
        <x:f>MAX(-0.20,MIN(0.35,'06_DRIVERS'!$J$4*0.8+0))</x:f>
        <x:v>0.0064</x:v>
      </x:c>
      <x:c r="N6" s="76" t="n">
        <x:f>MAX(-0.20,MIN(0.35,'06_DRIVERS'!$J$4*0.7+0))</x:f>
        <x:v>0.0056</x:v>
      </x:c>
      <x:c r="O6" s="76" t="n">
        <x:f>MAX(-0.20,MIN(0.35,'06_DRIVERS'!$J$4*0.6+0))</x:f>
        <x:v>0.0048</x:v>
      </x:c>
      <x:c r="P6" s="62"/>
      <x:c r="Q6" s="62" t="str">
        <x:v>Growth</x:v>
      </x:c>
      <x:c r="R6" s="75"/>
      <x:c r="S6" s="76" t="n">
        <x:f>MAX(-0.20,MIN(0.35,'06_DRIVERS'!$J$4*1+0.035))</x:f>
        <x:v>0.043000000000000003</x:v>
      </x:c>
      <x:c r="T6" s="76" t="n">
        <x:f>MAX(-0.20,MIN(0.35,'06_DRIVERS'!$J$4*0.9+0.035))</x:f>
        <x:v>0.0422</x:v>
      </x:c>
      <x:c r="U6" s="76" t="n">
        <x:f>MAX(-0.20,MIN(0.35,'06_DRIVERS'!$J$4*0.8+0.035))</x:f>
        <x:v>0.041400000000000006</x:v>
      </x:c>
      <x:c r="V6" s="76" t="n">
        <x:f>MAX(-0.20,MIN(0.35,'06_DRIVERS'!$J$4*0.7+0.035))</x:f>
        <x:v>0.040600000000000004</x:v>
      </x:c>
      <x:c r="W6" s="76" t="n">
        <x:f>MAX(-0.20,MIN(0.35,'06_DRIVERS'!$J$4*0.6+0.035))</x:f>
        <x:v>0.0398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0.0036000000000000025</x:v>
      </x:c>
      <x:c r="D7" s="76" t="n">
        <x:f>MAX(-0.30,MIN(0.50,'03_NORMALIZACION'!$E$9+('06_DRIVERS'!$J$5-'03_NORMALIZACION'!$E$9)*0.4+-0.025))</x:f>
        <x:v>0.032200000000000006</x:v>
      </x:c>
      <x:c r="E7" s="76" t="n">
        <x:f>MAX(-0.30,MIN(0.50,'03_NORMALIZACION'!$E$9+('06_DRIVERS'!$J$5-'03_NORMALIZACION'!$E$9)*0.6+-0.025))</x:f>
        <x:v>0.0608</x:v>
      </x:c>
      <x:c r="F7" s="76" t="n">
        <x:f>MAX(-0.30,MIN(0.50,'03_NORMALIZACION'!$E$9+('06_DRIVERS'!$J$5-'03_NORMALIZACION'!$E$9)*0.8+-0.025))</x:f>
        <x:v>0.08940000000000001</x:v>
      </x:c>
      <x:c r="G7" s="76" t="n">
        <x:f>MAX(-0.30,MIN(0.50,'03_NORMALIZACION'!$E$9+('06_DRIVERS'!$J$5-'03_NORMALIZACION'!$E$9)*1.0+-0.025))</x:f>
        <x:v>0.11800000000000002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0.028600000000000004</x:v>
      </x:c>
      <x:c r="L7" s="76" t="n">
        <x:f>MAX(-0.30,MIN(0.50,'03_NORMALIZACION'!$E$9+('06_DRIVERS'!$J$5-'03_NORMALIZACION'!$E$9)*0.4+0))</x:f>
        <x:v>0.05720000000000001</x:v>
      </x:c>
      <x:c r="M7" s="76" t="n">
        <x:f>MAX(-0.30,MIN(0.50,'03_NORMALIZACION'!$E$9+('06_DRIVERS'!$J$5-'03_NORMALIZACION'!$E$9)*0.6+0))</x:f>
        <x:v>0.0858</x:v>
      </x:c>
      <x:c r="N7" s="76" t="n">
        <x:f>MAX(-0.30,MIN(0.50,'03_NORMALIZACION'!$E$9+('06_DRIVERS'!$J$5-'03_NORMALIZACION'!$E$9)*0.8+0))</x:f>
        <x:v>0.11440000000000002</x:v>
      </x:c>
      <x:c r="O7" s="76" t="n">
        <x:f>MAX(-0.30,MIN(0.50,'03_NORMALIZACION'!$E$9+('06_DRIVERS'!$J$5-'03_NORMALIZACION'!$E$9)*1.0+0))</x:f>
        <x:v>0.14300000000000002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0.05360000000000001</x:v>
      </x:c>
      <x:c r="T7" s="76" t="n">
        <x:f>MAX(-0.30,MIN(0.50,'03_NORMALIZACION'!$E$9+('06_DRIVERS'!$J$5-'03_NORMALIZACION'!$E$9)*0.4+0.025))</x:f>
        <x:v>0.08220000000000001</x:v>
      </x:c>
      <x:c r="U7" s="76" t="n">
        <x:f>MAX(-0.30,MIN(0.50,'03_NORMALIZACION'!$E$9+('06_DRIVERS'!$J$5-'03_NORMALIZACION'!$E$9)*0.6+0.025))</x:f>
        <x:v>0.11080000000000001</x:v>
      </x:c>
      <x:c r="V7" s="76" t="n">
        <x:f>MAX(-0.30,MIN(0.50,'03_NORMALIZACION'!$E$9+('06_DRIVERS'!$J$5-'03_NORMALIZACION'!$E$9)*0.8+0.025))</x:f>
        <x:v>0.13940000000000002</x:v>
      </x:c>
      <x:c r="W7" s="76" t="n">
        <x:f>MAX(-0.30,MIN(0.50,'03_NORMALIZACION'!$E$9+('06_DRIVERS'!$J$5-'03_NORMALIZACION'!$E$9)*1.0+0.025))</x:f>
        <x:v>0.168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RESOURCE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RESOURCE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08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0.015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sector_metrics.production.fy3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sector_metrics.production.fy2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sector_metrics.production.fy1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sector_metrics.production.fy0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sector_metrics.proved_reserves.fy3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sector_metrics.proved_reserves.fy2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sector_metrics.proved_reserves.fy1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sector_metrics.proved_reserves.fy0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sector_metrics.probable_reserves.fy3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sector_metrics.probable_reserves.fy2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sector_metrics.probable_reserves.fy1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sector_metrics.probable_reserves.fy0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sector_metrics.lifting_cost.fy3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sector_metrics.lifting_cost.fy2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sector_metrics.lifting_cost.fy1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sector_metrics.lifting_cost.fy0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sector_metrics.reserve_life.fy3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sector_metrics.reserve_life.fy2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sector_metrics.reserve_life.fy1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sector_metrics.reserve_life.fy0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sector_metrics.realized_price.fy3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RESOURCE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