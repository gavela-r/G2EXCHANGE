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411fa65c3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e73b9099881d4f87"/>
    <x:sheet xmlns:r="http://schemas.openxmlformats.org/officeDocument/2006/relationships" name="01_CONTROL" sheetId="2" r:id="Ra56fb1b778cf4685"/>
    <x:sheet xmlns:r="http://schemas.openxmlformats.org/officeDocument/2006/relationships" name="02_DATOS_RAW" sheetId="3" r:id="R69af588c8e7a44ce"/>
    <x:sheet xmlns:r="http://schemas.openxmlformats.org/officeDocument/2006/relationships" name="03_NORMALIZACION" sheetId="4" r:id="R6ba94e5d5a794e7c"/>
    <x:sheet xmlns:r="http://schemas.openxmlformats.org/officeDocument/2006/relationships" name="04_METRICAS_SECTOR" sheetId="5" r:id="Rd1220c360e004aeb"/>
    <x:sheet xmlns:r="http://schemas.openxmlformats.org/officeDocument/2006/relationships" name="05_AJUSTES_NOTICIAS" sheetId="6" r:id="R175639f30d4c467f"/>
    <x:sheet xmlns:r="http://schemas.openxmlformats.org/officeDocument/2006/relationships" name="06_DRIVERS" sheetId="7" r:id="Rb9dce10bb6264641"/>
    <x:sheet xmlns:r="http://schemas.openxmlformats.org/officeDocument/2006/relationships" name="07_WACC" sheetId="8" r:id="R5c47effbcaa84e72"/>
    <x:sheet xmlns:r="http://schemas.openxmlformats.org/officeDocument/2006/relationships" name="08_PROYECCIONES" sheetId="9" r:id="R45be66709d2d4ae6"/>
    <x:sheet xmlns:r="http://schemas.openxmlformats.org/officeDocument/2006/relationships" name="09_VALORACION" sheetId="10" r:id="R4834cd0cad4a4e76"/>
    <x:sheet xmlns:r="http://schemas.openxmlformats.org/officeDocument/2006/relationships" name="10_RESULTADO" sheetId="11" r:id="R3cf2c6a939644f50"/>
    <x:sheet xmlns:r="http://schemas.openxmlformats.org/officeDocument/2006/relationships" name="11_OUTPUT_API" sheetId="12" r:id="R025aedb3da0c4b66"/>
    <x:sheet xmlns:r="http://schemas.openxmlformats.org/officeDocument/2006/relationships" name="12_MAPEO_SOFTWARE" sheetId="13" r:id="Rac75567d64af419d"/>
    <x:sheet xmlns:r="http://schemas.openxmlformats.org/officeDocument/2006/relationships" name="13_VALIDACIONES" sheetId="14" r:id="Rd6d673ba9934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da478d6d647d9" /><Relationship Type="http://schemas.openxmlformats.org/officeDocument/2006/relationships/theme" Target="/xl/theme/theme1.xml" Id="R34430496a9b64a5d" /><Relationship Type="http://schemas.openxmlformats.org/officeDocument/2006/relationships/sharedStrings" Target="/xl/sharedStrings.xml" Id="R2759dcb484964ae6" /><Relationship Type="http://schemas.openxmlformats.org/officeDocument/2006/relationships/worksheet" Target="/xl/worksheets/sheet1.xml" Id="Re73b9099881d4f87" /><Relationship Type="http://schemas.openxmlformats.org/officeDocument/2006/relationships/worksheet" Target="/xl/worksheets/sheet2.xml" Id="Ra56fb1b778cf4685" /><Relationship Type="http://schemas.openxmlformats.org/officeDocument/2006/relationships/worksheet" Target="/xl/worksheets/sheet3.xml" Id="R69af588c8e7a44ce" /><Relationship Type="http://schemas.openxmlformats.org/officeDocument/2006/relationships/worksheet" Target="/xl/worksheets/sheet4.xml" Id="R6ba94e5d5a794e7c" /><Relationship Type="http://schemas.openxmlformats.org/officeDocument/2006/relationships/worksheet" Target="/xl/worksheets/sheet5.xml" Id="Rd1220c360e004aeb" /><Relationship Type="http://schemas.openxmlformats.org/officeDocument/2006/relationships/worksheet" Target="/xl/worksheets/sheet6.xml" Id="R175639f30d4c467f" /><Relationship Type="http://schemas.openxmlformats.org/officeDocument/2006/relationships/worksheet" Target="/xl/worksheets/sheet7.xml" Id="Rb9dce10bb6264641" /><Relationship Type="http://schemas.openxmlformats.org/officeDocument/2006/relationships/worksheet" Target="/xl/worksheets/sheet8.xml" Id="R5c47effbcaa84e72" /><Relationship Type="http://schemas.openxmlformats.org/officeDocument/2006/relationships/worksheet" Target="/xl/worksheets/sheet9.xml" Id="R45be66709d2d4ae6" /><Relationship Type="http://schemas.openxmlformats.org/officeDocument/2006/relationships/worksheet" Target="/xl/worksheets/sheet10.xml" Id="R4834cd0cad4a4e76" /><Relationship Type="http://schemas.openxmlformats.org/officeDocument/2006/relationships/worksheet" Target="/xl/worksheets/sheet11.xml" Id="R3cf2c6a939644f50" /><Relationship Type="http://schemas.openxmlformats.org/officeDocument/2006/relationships/worksheet" Target="/xl/worksheets/sheet12.xml" Id="R025aedb3da0c4b66" /><Relationship Type="http://schemas.openxmlformats.org/officeDocument/2006/relationships/worksheet" Target="/xl/worksheets/sheet13.xml" Id="Rac75567d64af419d" /><Relationship Type="http://schemas.openxmlformats.org/officeDocument/2006/relationships/worksheet" Target="/xl/worksheets/sheet14.xml" Id="Rd6d673ba9934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09 — MINERÍA / METALES / MATERIALES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09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Minería / metales / materiales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RESOURCE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09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RESOURCE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RESOURCE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MINERÍA / METALES / MATERIALES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production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ore_grade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reserves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aisc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mine_life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realized_price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0.025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0.010000000000000002</x:v>
      </x:c>
      <x:c r="J4" s="76" t="n">
        <x:f>MAX(K4,MIN(L4,I4+H4))</x:f>
        <x:v>0.010000000000000002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0.18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0.11699999999999999</x:v>
      </x:c>
      <x:c r="J5" s="76" t="n">
        <x:f>MAX(K5,MIN(L5,I5+H5))</x:f>
        <x:v>0.11699999999999999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0.08800000000000001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0.022000000000000002</x:v>
      </x:c>
      <x:c r="J7" s="76" t="n">
        <x:f>MAX(K7,MIN(L7,I7+H7))</x:f>
        <x:v>0.022000000000000002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0.11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0.11</x:v>
      </x:c>
      <x:c r="J8" s="76" t="n">
        <x:f>MAX(K8,MIN(L8,I8+H8))</x:f>
        <x:v>0.11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0.00375</x:v>
      </x:c>
      <x:c r="J9" s="76" t="n">
        <x:f>MAX(K9,MIN(L9,I9+H9))</x:f>
        <x:v>0.00375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0.015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0.015</x:v>
      </x:c>
      <x:c r="J10" s="76" t="n">
        <x:f>MAX(K10,MIN(L10,I10+H10))</x:f>
        <x:v>0.015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6.5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6.5</x:v>
      </x:c>
      <x:c r="J12" s="78" t="n">
        <x:f>MAX(K12,MIN(L12,I12+H12))</x:f>
        <x:v>6.5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-0.025</x:v>
      </x:c>
      <x:c r="D6" s="76" t="n">
        <x:f>MAX(-0.20,MIN(0.35,'06_DRIVERS'!$J$4*0.9+-0.035))</x:f>
        <x:v>-0.026000000000000002</x:v>
      </x:c>
      <x:c r="E6" s="76" t="n">
        <x:f>MAX(-0.20,MIN(0.35,'06_DRIVERS'!$J$4*0.8+-0.035))</x:f>
        <x:v>-0.027000000000000003</x:v>
      </x:c>
      <x:c r="F6" s="76" t="n">
        <x:f>MAX(-0.20,MIN(0.35,'06_DRIVERS'!$J$4*0.7+-0.035))</x:f>
        <x:v>-0.028000000000000004</x:v>
      </x:c>
      <x:c r="G6" s="76" t="n">
        <x:f>MAX(-0.20,MIN(0.35,'06_DRIVERS'!$J$4*0.6+-0.035))</x:f>
        <x:v>-0.029</x:v>
      </x:c>
      <x:c r="H6" s="62"/>
      <x:c r="I6" s="62" t="str">
        <x:v>Growth</x:v>
      </x:c>
      <x:c r="J6" s="75"/>
      <x:c r="K6" s="76" t="n">
        <x:f>MAX(-0.20,MIN(0.35,'06_DRIVERS'!$J$4*1+0))</x:f>
        <x:v>0.010000000000000002</x:v>
      </x:c>
      <x:c r="L6" s="76" t="n">
        <x:f>MAX(-0.20,MIN(0.35,'06_DRIVERS'!$J$4*0.9+0))</x:f>
        <x:v>0.009000000000000003</x:v>
      </x:c>
      <x:c r="M6" s="76" t="n">
        <x:f>MAX(-0.20,MIN(0.35,'06_DRIVERS'!$J$4*0.8+0))</x:f>
        <x:v>0.008000000000000002</x:v>
      </x:c>
      <x:c r="N6" s="76" t="n">
        <x:f>MAX(-0.20,MIN(0.35,'06_DRIVERS'!$J$4*0.7+0))</x:f>
        <x:v>0.007000000000000001</x:v>
      </x:c>
      <x:c r="O6" s="76" t="n">
        <x:f>MAX(-0.20,MIN(0.35,'06_DRIVERS'!$J$4*0.6+0))</x:f>
        <x:v>0.006000000000000001</x:v>
      </x:c>
      <x:c r="P6" s="62"/>
      <x:c r="Q6" s="62" t="str">
        <x:v>Growth</x:v>
      </x:c>
      <x:c r="R6" s="75"/>
      <x:c r="S6" s="76" t="n">
        <x:f>MAX(-0.20,MIN(0.35,'06_DRIVERS'!$J$4*1+0.035))</x:f>
        <x:v>0.045000000000000005</x:v>
      </x:c>
      <x:c r="T6" s="76" t="n">
        <x:f>MAX(-0.20,MIN(0.35,'06_DRIVERS'!$J$4*0.9+0.035))</x:f>
        <x:v>0.044000000000000004</x:v>
      </x:c>
      <x:c r="U6" s="76" t="n">
        <x:f>MAX(-0.20,MIN(0.35,'06_DRIVERS'!$J$4*0.8+0.035))</x:f>
        <x:v>0.043000000000000003</x:v>
      </x:c>
      <x:c r="V6" s="76" t="n">
        <x:f>MAX(-0.20,MIN(0.35,'06_DRIVERS'!$J$4*0.7+0.035))</x:f>
        <x:v>0.042</x:v>
      </x:c>
      <x:c r="W6" s="76" t="n">
        <x:f>MAX(-0.20,MIN(0.35,'06_DRIVERS'!$J$4*0.6+0.035))</x:f>
        <x:v>0.041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-0.0016000000000000007</x:v>
      </x:c>
      <x:c r="D7" s="76" t="n">
        <x:f>MAX(-0.30,MIN(0.50,'03_NORMALIZACION'!$E$9+('06_DRIVERS'!$J$5-'03_NORMALIZACION'!$E$9)*0.4+-0.025))</x:f>
        <x:v>0.0218</x:v>
      </x:c>
      <x:c r="E7" s="76" t="n">
        <x:f>MAX(-0.30,MIN(0.50,'03_NORMALIZACION'!$E$9+('06_DRIVERS'!$J$5-'03_NORMALIZACION'!$E$9)*0.6+-0.025))</x:f>
        <x:v>0.0452</x:v>
      </x:c>
      <x:c r="F7" s="76" t="n">
        <x:f>MAX(-0.30,MIN(0.50,'03_NORMALIZACION'!$E$9+('06_DRIVERS'!$J$5-'03_NORMALIZACION'!$E$9)*0.8+-0.025))</x:f>
        <x:v>0.0686</x:v>
      </x:c>
      <x:c r="G7" s="76" t="n">
        <x:f>MAX(-0.30,MIN(0.50,'03_NORMALIZACION'!$E$9+('06_DRIVERS'!$J$5-'03_NORMALIZACION'!$E$9)*1.0+-0.025))</x:f>
        <x:v>0.092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0.0234</x:v>
      </x:c>
      <x:c r="L7" s="76" t="n">
        <x:f>MAX(-0.30,MIN(0.50,'03_NORMALIZACION'!$E$9+('06_DRIVERS'!$J$5-'03_NORMALIZACION'!$E$9)*0.4+0))</x:f>
        <x:v>0.0468</x:v>
      </x:c>
      <x:c r="M7" s="76" t="n">
        <x:f>MAX(-0.30,MIN(0.50,'03_NORMALIZACION'!$E$9+('06_DRIVERS'!$J$5-'03_NORMALIZACION'!$E$9)*0.6+0))</x:f>
        <x:v>0.0702</x:v>
      </x:c>
      <x:c r="N7" s="76" t="n">
        <x:f>MAX(-0.30,MIN(0.50,'03_NORMALIZACION'!$E$9+('06_DRIVERS'!$J$5-'03_NORMALIZACION'!$E$9)*0.8+0))</x:f>
        <x:v>0.0936</x:v>
      </x:c>
      <x:c r="O7" s="76" t="n">
        <x:f>MAX(-0.30,MIN(0.50,'03_NORMALIZACION'!$E$9+('06_DRIVERS'!$J$5-'03_NORMALIZACION'!$E$9)*1.0+0))</x:f>
        <x:v>0.11699999999999999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0.0484</x:v>
      </x:c>
      <x:c r="T7" s="76" t="n">
        <x:f>MAX(-0.30,MIN(0.50,'03_NORMALIZACION'!$E$9+('06_DRIVERS'!$J$5-'03_NORMALIZACION'!$E$9)*0.4+0.025))</x:f>
        <x:v>0.0718</x:v>
      </x:c>
      <x:c r="U7" s="76" t="n">
        <x:f>MAX(-0.30,MIN(0.50,'03_NORMALIZACION'!$E$9+('06_DRIVERS'!$J$5-'03_NORMALIZACION'!$E$9)*0.6+0.025))</x:f>
        <x:v>0.0952</x:v>
      </x:c>
      <x:c r="V7" s="76" t="n">
        <x:f>MAX(-0.30,MIN(0.50,'03_NORMALIZACION'!$E$9+('06_DRIVERS'!$J$5-'03_NORMALIZACION'!$E$9)*0.8+0.025))</x:f>
        <x:v>0.11860000000000001</x:v>
      </x:c>
      <x:c r="W7" s="76" t="n">
        <x:f>MAX(-0.30,MIN(0.50,'03_NORMALIZACION'!$E$9+('06_DRIVERS'!$J$5-'03_NORMALIZACION'!$E$9)*1.0+0.025))</x:f>
        <x:v>0.142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RESOURCE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RESOURCE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09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0.015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sector_metrics.production.fy3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sector_metrics.production.fy2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sector_metrics.production.fy1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sector_metrics.production.fy0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sector_metrics.ore_grade.fy3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sector_metrics.ore_grade.fy2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sector_metrics.ore_grade.fy1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sector_metrics.ore_grade.fy0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sector_metrics.reserves.fy3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sector_metrics.reserves.fy2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sector_metrics.reserves.fy1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sector_metrics.reserves.fy0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sector_metrics.aisc.fy3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sector_metrics.aisc.fy2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sector_metrics.aisc.fy1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sector_metrics.aisc.fy0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sector_metrics.mine_life.fy3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sector_metrics.mine_life.fy2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sector_metrics.mine_life.fy1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sector_metrics.mine_life.fy0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sector_metrics.realized_price.fy3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RESOURCE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