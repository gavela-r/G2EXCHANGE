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ba5f88e93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08777c5a60574f70"/>
    <x:sheet xmlns:r="http://schemas.openxmlformats.org/officeDocument/2006/relationships" name="01_CONTROL" sheetId="2" r:id="Ra5789a63264f4121"/>
    <x:sheet xmlns:r="http://schemas.openxmlformats.org/officeDocument/2006/relationships" name="02_DATOS_RAW" sheetId="3" r:id="R898e9f90dde2429d"/>
    <x:sheet xmlns:r="http://schemas.openxmlformats.org/officeDocument/2006/relationships" name="03_NORMALIZACION" sheetId="4" r:id="R9a900198fad042f1"/>
    <x:sheet xmlns:r="http://schemas.openxmlformats.org/officeDocument/2006/relationships" name="04_METRICAS_SECTOR" sheetId="5" r:id="Ra536bda15d0440cb"/>
    <x:sheet xmlns:r="http://schemas.openxmlformats.org/officeDocument/2006/relationships" name="05_AJUSTES_NOTICIAS" sheetId="6" r:id="R0e67ddbf579e4824"/>
    <x:sheet xmlns:r="http://schemas.openxmlformats.org/officeDocument/2006/relationships" name="06_DRIVERS" sheetId="7" r:id="Rb8a06fec79874fc5"/>
    <x:sheet xmlns:r="http://schemas.openxmlformats.org/officeDocument/2006/relationships" name="07_WACC" sheetId="8" r:id="Rd31e95debf0246de"/>
    <x:sheet xmlns:r="http://schemas.openxmlformats.org/officeDocument/2006/relationships" name="08_PROYECCIONES" sheetId="9" r:id="R38c5af60b9f241f6"/>
    <x:sheet xmlns:r="http://schemas.openxmlformats.org/officeDocument/2006/relationships" name="09_VALORACION" sheetId="10" r:id="R66da9db01b944d8e"/>
    <x:sheet xmlns:r="http://schemas.openxmlformats.org/officeDocument/2006/relationships" name="10_RESULTADO" sheetId="11" r:id="Rd65330585a0d40e3"/>
    <x:sheet xmlns:r="http://schemas.openxmlformats.org/officeDocument/2006/relationships" name="11_OUTPUT_API" sheetId="12" r:id="Rc0132287b1d045b8"/>
    <x:sheet xmlns:r="http://schemas.openxmlformats.org/officeDocument/2006/relationships" name="12_MAPEO_SOFTWARE" sheetId="13" r:id="R536708981dd840b0"/>
    <x:sheet xmlns:r="http://schemas.openxmlformats.org/officeDocument/2006/relationships" name="13_VALIDACIONES" sheetId="14" r:id="Ra9049acb82ff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571f4774546c8" /><Relationship Type="http://schemas.openxmlformats.org/officeDocument/2006/relationships/theme" Target="/xl/theme/theme1.xml" Id="Radeb618474ea41db" /><Relationship Type="http://schemas.openxmlformats.org/officeDocument/2006/relationships/sharedStrings" Target="/xl/sharedStrings.xml" Id="R04cabc2387dc430f" /><Relationship Type="http://schemas.openxmlformats.org/officeDocument/2006/relationships/worksheet" Target="/xl/worksheets/sheet1.xml" Id="R08777c5a60574f70" /><Relationship Type="http://schemas.openxmlformats.org/officeDocument/2006/relationships/worksheet" Target="/xl/worksheets/sheet2.xml" Id="Ra5789a63264f4121" /><Relationship Type="http://schemas.openxmlformats.org/officeDocument/2006/relationships/worksheet" Target="/xl/worksheets/sheet3.xml" Id="R898e9f90dde2429d" /><Relationship Type="http://schemas.openxmlformats.org/officeDocument/2006/relationships/worksheet" Target="/xl/worksheets/sheet4.xml" Id="R9a900198fad042f1" /><Relationship Type="http://schemas.openxmlformats.org/officeDocument/2006/relationships/worksheet" Target="/xl/worksheets/sheet5.xml" Id="Ra536bda15d0440cb" /><Relationship Type="http://schemas.openxmlformats.org/officeDocument/2006/relationships/worksheet" Target="/xl/worksheets/sheet6.xml" Id="R0e67ddbf579e4824" /><Relationship Type="http://schemas.openxmlformats.org/officeDocument/2006/relationships/worksheet" Target="/xl/worksheets/sheet7.xml" Id="Rb8a06fec79874fc5" /><Relationship Type="http://schemas.openxmlformats.org/officeDocument/2006/relationships/worksheet" Target="/xl/worksheets/sheet8.xml" Id="Rd31e95debf0246de" /><Relationship Type="http://schemas.openxmlformats.org/officeDocument/2006/relationships/worksheet" Target="/xl/worksheets/sheet9.xml" Id="R38c5af60b9f241f6" /><Relationship Type="http://schemas.openxmlformats.org/officeDocument/2006/relationships/worksheet" Target="/xl/worksheets/sheet10.xml" Id="R66da9db01b944d8e" /><Relationship Type="http://schemas.openxmlformats.org/officeDocument/2006/relationships/worksheet" Target="/xl/worksheets/sheet11.xml" Id="Rd65330585a0d40e3" /><Relationship Type="http://schemas.openxmlformats.org/officeDocument/2006/relationships/worksheet" Target="/xl/worksheets/sheet12.xml" Id="Rc0132287b1d045b8" /><Relationship Type="http://schemas.openxmlformats.org/officeDocument/2006/relationships/worksheet" Target="/xl/worksheets/sheet13.xml" Id="R536708981dd840b0" /><Relationship Type="http://schemas.openxmlformats.org/officeDocument/2006/relationships/worksheet" Target="/xl/worksheets/sheet14.xml" Id="Ra9049acb82ff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10 — UTILITIES / INFRAESTRUCTURAS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10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Utilities / infraestructuras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10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UTILITIES / INFRAESTRUCTURAS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regulated_asset_base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allowed_roe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regulated_capex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customers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service_quality_index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8">
      <x:formula1>"HIGH,MEDIUM,LOW"</x:formula1>
    </x:dataValidation>
    <x:dataValidation type="list" sqref="J4:J8">
      <x:formula1>"YES,NO"</x:formula1>
    </x:dataValidation>
    <x:dataValidation type="list" sqref="K4:K8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0.035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0.014000000000000002</x:v>
      </x:c>
      <x:c r="J4" s="76" t="n">
        <x:f>MAX(K4,MIN(L4,I4+H4))</x:f>
        <x:v>0.014000000000000002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0.2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0.13</x:v>
      </x:c>
      <x:c r="J5" s="76" t="n">
        <x:f>MAX(K5,MIN(L5,I5+H5))</x:f>
        <x:v>0.13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0.11200000000000002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0.028000000000000004</x:v>
      </x:c>
      <x:c r="J7" s="76" t="n">
        <x:f>MAX(K7,MIN(L7,I7+H7))</x:f>
        <x:v>0.028000000000000004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0.14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0.14</x:v>
      </x:c>
      <x:c r="J8" s="76" t="n">
        <x:f>MAX(K8,MIN(L8,I8+H8))</x:f>
        <x:v>0.14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0.005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0.00125</x:v>
      </x:c>
      <x:c r="J9" s="76" t="n">
        <x:f>MAX(K9,MIN(L9,I9+H9))</x:f>
        <x:v>0.00125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</x:v>
      </x:c>
      <x:c r="J10" s="76" t="n">
        <x:f>MAX(K10,MIN(L10,I10+H10))</x:f>
        <x:v>0.02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10.5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10.5</x:v>
      </x:c>
      <x:c r="J12" s="78" t="n">
        <x:f>MAX(K12,MIN(L12,I12+H12))</x:f>
        <x:v>10.5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-0.021</x:v>
      </x:c>
      <x:c r="D6" s="76" t="n">
        <x:f>MAX(-0.20,MIN(0.35,'06_DRIVERS'!$J$4*0.9+-0.035))</x:f>
        <x:v>-0.022400000000000003</x:v>
      </x:c>
      <x:c r="E6" s="76" t="n">
        <x:f>MAX(-0.20,MIN(0.35,'06_DRIVERS'!$J$4*0.8+-0.035))</x:f>
        <x:v>-0.0238</x:v>
      </x:c>
      <x:c r="F6" s="76" t="n">
        <x:f>MAX(-0.20,MIN(0.35,'06_DRIVERS'!$J$4*0.7+-0.035))</x:f>
        <x:v>-0.0252</x:v>
      </x:c>
      <x:c r="G6" s="76" t="n">
        <x:f>MAX(-0.20,MIN(0.35,'06_DRIVERS'!$J$4*0.6+-0.035))</x:f>
        <x:v>-0.026600000000000002</x:v>
      </x:c>
      <x:c r="H6" s="62"/>
      <x:c r="I6" s="62" t="str">
        <x:v>Growth</x:v>
      </x:c>
      <x:c r="J6" s="75"/>
      <x:c r="K6" s="76" t="n">
        <x:f>MAX(-0.20,MIN(0.35,'06_DRIVERS'!$J$4*1+0))</x:f>
        <x:v>0.014000000000000002</x:v>
      </x:c>
      <x:c r="L6" s="76" t="n">
        <x:f>MAX(-0.20,MIN(0.35,'06_DRIVERS'!$J$4*0.9+0))</x:f>
        <x:v>0.012600000000000002</x:v>
      </x:c>
      <x:c r="M6" s="76" t="n">
        <x:f>MAX(-0.20,MIN(0.35,'06_DRIVERS'!$J$4*0.8+0))</x:f>
        <x:v>0.011200000000000002</x:v>
      </x:c>
      <x:c r="N6" s="76" t="n">
        <x:f>MAX(-0.20,MIN(0.35,'06_DRIVERS'!$J$4*0.7+0))</x:f>
        <x:v>0.009800000000000001</x:v>
      </x:c>
      <x:c r="O6" s="76" t="n">
        <x:f>MAX(-0.20,MIN(0.35,'06_DRIVERS'!$J$4*0.6+0))</x:f>
        <x:v>0.008400000000000001</x:v>
      </x:c>
      <x:c r="P6" s="62"/>
      <x:c r="Q6" s="62" t="str">
        <x:v>Growth</x:v>
      </x:c>
      <x:c r="R6" s="75"/>
      <x:c r="S6" s="76" t="n">
        <x:f>MAX(-0.20,MIN(0.35,'06_DRIVERS'!$J$4*1+0.035))</x:f>
        <x:v>0.049</x:v>
      </x:c>
      <x:c r="T6" s="76" t="n">
        <x:f>MAX(-0.20,MIN(0.35,'06_DRIVERS'!$J$4*0.9+0.035))</x:f>
        <x:v>0.0476</x:v>
      </x:c>
      <x:c r="U6" s="76" t="n">
        <x:f>MAX(-0.20,MIN(0.35,'06_DRIVERS'!$J$4*0.8+0.035))</x:f>
        <x:v>0.046200000000000005</x:v>
      </x:c>
      <x:c r="V6" s="76" t="n">
        <x:f>MAX(-0.20,MIN(0.35,'06_DRIVERS'!$J$4*0.7+0.035))</x:f>
        <x:v>0.044800000000000006</x:v>
      </x:c>
      <x:c r="W6" s="76" t="n">
        <x:f>MAX(-0.20,MIN(0.35,'06_DRIVERS'!$J$4*0.6+0.035))</x:f>
        <x:v>0.04340000000000001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0.0010000000000000009</x:v>
      </x:c>
      <x:c r="D7" s="76" t="n">
        <x:f>MAX(-0.30,MIN(0.50,'03_NORMALIZACION'!$E$9+('06_DRIVERS'!$J$5-'03_NORMALIZACION'!$E$9)*0.4+-0.025))</x:f>
        <x:v>0.027000000000000003</x:v>
      </x:c>
      <x:c r="E7" s="76" t="n">
        <x:f>MAX(-0.30,MIN(0.50,'03_NORMALIZACION'!$E$9+('06_DRIVERS'!$J$5-'03_NORMALIZACION'!$E$9)*0.6+-0.025))</x:f>
        <x:v>0.053</x:v>
      </x:c>
      <x:c r="F7" s="76" t="n">
        <x:f>MAX(-0.30,MIN(0.50,'03_NORMALIZACION'!$E$9+('06_DRIVERS'!$J$5-'03_NORMALIZACION'!$E$9)*0.8+-0.025))</x:f>
        <x:v>0.07900000000000001</x:v>
      </x:c>
      <x:c r="G7" s="76" t="n">
        <x:f>MAX(-0.30,MIN(0.50,'03_NORMALIZACION'!$E$9+('06_DRIVERS'!$J$5-'03_NORMALIZACION'!$E$9)*1.0+-0.025))</x:f>
        <x:v>0.10500000000000001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0.026000000000000002</x:v>
      </x:c>
      <x:c r="L7" s="76" t="n">
        <x:f>MAX(-0.30,MIN(0.50,'03_NORMALIZACION'!$E$9+('06_DRIVERS'!$J$5-'03_NORMALIZACION'!$E$9)*0.4+0))</x:f>
        <x:v>0.052000000000000005</x:v>
      </x:c>
      <x:c r="M7" s="76" t="n">
        <x:f>MAX(-0.30,MIN(0.50,'03_NORMALIZACION'!$E$9+('06_DRIVERS'!$J$5-'03_NORMALIZACION'!$E$9)*0.6+0))</x:f>
        <x:v>0.078</x:v>
      </x:c>
      <x:c r="N7" s="76" t="n">
        <x:f>MAX(-0.30,MIN(0.50,'03_NORMALIZACION'!$E$9+('06_DRIVERS'!$J$5-'03_NORMALIZACION'!$E$9)*0.8+0))</x:f>
        <x:v>0.10400000000000001</x:v>
      </x:c>
      <x:c r="O7" s="76" t="n">
        <x:f>MAX(-0.30,MIN(0.50,'03_NORMALIZACION'!$E$9+('06_DRIVERS'!$J$5-'03_NORMALIZACION'!$E$9)*1.0+0))</x:f>
        <x:v>0.13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0.051000000000000004</x:v>
      </x:c>
      <x:c r="T7" s="76" t="n">
        <x:f>MAX(-0.30,MIN(0.50,'03_NORMALIZACION'!$E$9+('06_DRIVERS'!$J$5-'03_NORMALIZACION'!$E$9)*0.4+0.025))</x:f>
        <x:v>0.07700000000000001</x:v>
      </x:c>
      <x:c r="U7" s="76" t="n">
        <x:f>MAX(-0.30,MIN(0.50,'03_NORMALIZACION'!$E$9+('06_DRIVERS'!$J$5-'03_NORMALIZACION'!$E$9)*0.6+0.025))</x:f>
        <x:v>0.10300000000000001</x:v>
      </x:c>
      <x:c r="V7" s="76" t="n">
        <x:f>MAX(-0.30,MIN(0.50,'03_NORMALIZACION'!$E$9+('06_DRIVERS'!$J$5-'03_NORMALIZACION'!$E$9)*0.8+0.025))</x:f>
        <x:v>0.129</x:v>
      </x:c>
      <x:c r="W7" s="76" t="n">
        <x:f>MAX(-0.30,MIN(0.50,'03_NORMALIZACION'!$E$9+('06_DRIVERS'!$J$5-'03_NORMALIZACION'!$E$9)*1.0+0.025))</x:f>
        <x:v>0.155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10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sector_metrics.regulated_asset_base.fy3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sector_metrics.regulated_asset_base.fy2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sector_metrics.regulated_asset_base.fy1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sector_metrics.regulated_asset_base.fy0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sector_metrics.allowed_roe.fy3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sector_metrics.allowed_roe.fy2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sector_metrics.allowed_roe.fy1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sector_metrics.allowed_roe.fy0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sector_metrics.regulated_capex.fy3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sector_metrics.regulated_capex.fy2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sector_metrics.regulated_capex.fy1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sector_metrics.regulated_capex.fy0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sector_metrics.customers.fy3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sector_metrics.customers.fy2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sector_metrics.customers.fy1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sector_metrics.customers.fy0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sector_metrics.service_quality_index.fy3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sector_metrics.service_quality_index.fy2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sector_metrics.service_quality_index.fy1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sector_metrics.service_quality_index.fy0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 t="str">
        <x:v>expected_family</x:v>
      </x:c>
      <x:c r="B112" s="62" t="str">
        <x:v>01_CONTROL</x:v>
      </x:c>
      <x:c r="C112" s="62" t="str">
        <x:v>B21</x:v>
      </x:c>
      <x:c r="D112" s="62" t="str">
        <x:v>string</x:v>
      </x:c>
      <x:c r="E112" s="62" t="str"/>
      <x:c r="F112" s="62" t="str">
        <x:v>Sí</x:v>
      </x:c>
      <x:c r="G112" s="62" t="str">
        <x:v>template</x:v>
      </x:c>
      <x:c r="H112" s="62" t="str">
        <x:v>fixed</x:v>
      </x:c>
      <x:c r="I112" s="62" t="str">
        <x:v>HIGH</x:v>
      </x:c>
      <x:c r="J112" s="62" t="str">
        <x:v>No</x:v>
      </x:c>
      <x:c r="K112" s="62" t="str"/>
      <x:c r="L112" s="62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 t="str">
        <x:v>valuation_method_family</x:v>
      </x:c>
      <x:c r="B113" s="62" t="str">
        <x:v>01_CONTROL</x:v>
      </x:c>
      <x:c r="C113" s="62" t="str">
        <x:v>B22</x:v>
      </x:c>
      <x:c r="D113" s="62" t="str">
        <x:v>string</x:v>
      </x:c>
      <x:c r="E113" s="62" t="str"/>
      <x:c r="F113" s="62" t="str">
        <x:v>Sí</x:v>
      </x:c>
      <x:c r="G113" s="62" t="str">
        <x:v>template</x:v>
      </x:c>
      <x:c r="H113" s="62" t="str">
        <x:v>must_equal_expected</x:v>
      </x:c>
      <x:c r="I113" s="62" t="str">
        <x:v>HIGH</x:v>
      </x:c>
      <x:c r="J113" s="62" t="str">
        <x:v>No</x:v>
      </x:c>
      <x:c r="K113" s="62" t="str"/>
      <x:c r="L113" s="62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 t="str">
        <x:v>valuation_run_id</x:v>
      </x:c>
      <x:c r="B114" s="62" t="str">
        <x:v>01_CONTROL</x:v>
      </x:c>
      <x:c r="C114" s="62" t="str">
        <x:v>B23</x:v>
      </x:c>
      <x:c r="D114" s="62" t="str">
        <x:v>string</x:v>
      </x:c>
      <x:c r="E114" s="62" t="str"/>
      <x:c r="F114" s="62" t="str">
        <x:v>Sí</x:v>
      </x:c>
      <x:c r="G114" s="62" t="str">
        <x:v>backend</x:v>
      </x:c>
      <x:c r="H114" s="62" t="str">
        <x:v>no vacío</x:v>
      </x:c>
      <x:c r="I114" s="62" t="str">
        <x:v>HIGH</x:v>
      </x:c>
      <x:c r="J114" s="62" t="str">
        <x:v>Sí</x:v>
      </x:c>
      <x:c r="K114" s="62" t="str"/>
      <x:c r="L114" s="62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