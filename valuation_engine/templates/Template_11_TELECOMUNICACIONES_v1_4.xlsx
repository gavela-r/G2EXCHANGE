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8dfd16823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f1e5ea0d43314496"/>
    <x:sheet xmlns:r="http://schemas.openxmlformats.org/officeDocument/2006/relationships" name="01_CONTROL" sheetId="2" r:id="Re4d6875930314b85"/>
    <x:sheet xmlns:r="http://schemas.openxmlformats.org/officeDocument/2006/relationships" name="02_DATOS_RAW" sheetId="3" r:id="R8f3b4c46cafc498a"/>
    <x:sheet xmlns:r="http://schemas.openxmlformats.org/officeDocument/2006/relationships" name="03_NORMALIZACION" sheetId="4" r:id="R125abc18025d48ef"/>
    <x:sheet xmlns:r="http://schemas.openxmlformats.org/officeDocument/2006/relationships" name="04_METRICAS_SECTOR" sheetId="5" r:id="R95917d5830de4290"/>
    <x:sheet xmlns:r="http://schemas.openxmlformats.org/officeDocument/2006/relationships" name="05_AJUSTES_NOTICIAS" sheetId="6" r:id="R534340e8ad034ef7"/>
    <x:sheet xmlns:r="http://schemas.openxmlformats.org/officeDocument/2006/relationships" name="06_DRIVERS" sheetId="7" r:id="Rf1a04baa9d054638"/>
    <x:sheet xmlns:r="http://schemas.openxmlformats.org/officeDocument/2006/relationships" name="07_WACC" sheetId="8" r:id="R5ba2ac4fb3824cde"/>
    <x:sheet xmlns:r="http://schemas.openxmlformats.org/officeDocument/2006/relationships" name="08_PROYECCIONES" sheetId="9" r:id="R42b98e16fdd6452e"/>
    <x:sheet xmlns:r="http://schemas.openxmlformats.org/officeDocument/2006/relationships" name="09_VALORACION" sheetId="10" r:id="R1d98899abfeb4f30"/>
    <x:sheet xmlns:r="http://schemas.openxmlformats.org/officeDocument/2006/relationships" name="10_RESULTADO" sheetId="11" r:id="R28b6eb6806874468"/>
    <x:sheet xmlns:r="http://schemas.openxmlformats.org/officeDocument/2006/relationships" name="11_OUTPUT_API" sheetId="12" r:id="R08ff8efbfe7b4677"/>
    <x:sheet xmlns:r="http://schemas.openxmlformats.org/officeDocument/2006/relationships" name="12_MAPEO_SOFTWARE" sheetId="13" r:id="R6c0ddd28d60144e3"/>
    <x:sheet xmlns:r="http://schemas.openxmlformats.org/officeDocument/2006/relationships" name="13_VALIDACIONES" sheetId="14" r:id="R4014a31893a9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201d5a65345bb" /><Relationship Type="http://schemas.openxmlformats.org/officeDocument/2006/relationships/theme" Target="/xl/theme/theme1.xml" Id="R18988a36faa14e38" /><Relationship Type="http://schemas.openxmlformats.org/officeDocument/2006/relationships/sharedStrings" Target="/xl/sharedStrings.xml" Id="R70144ef6aaea448c" /><Relationship Type="http://schemas.openxmlformats.org/officeDocument/2006/relationships/worksheet" Target="/xl/worksheets/sheet1.xml" Id="Rf1e5ea0d43314496" /><Relationship Type="http://schemas.openxmlformats.org/officeDocument/2006/relationships/worksheet" Target="/xl/worksheets/sheet2.xml" Id="Re4d6875930314b85" /><Relationship Type="http://schemas.openxmlformats.org/officeDocument/2006/relationships/worksheet" Target="/xl/worksheets/sheet3.xml" Id="R8f3b4c46cafc498a" /><Relationship Type="http://schemas.openxmlformats.org/officeDocument/2006/relationships/worksheet" Target="/xl/worksheets/sheet4.xml" Id="R125abc18025d48ef" /><Relationship Type="http://schemas.openxmlformats.org/officeDocument/2006/relationships/worksheet" Target="/xl/worksheets/sheet5.xml" Id="R95917d5830de4290" /><Relationship Type="http://schemas.openxmlformats.org/officeDocument/2006/relationships/worksheet" Target="/xl/worksheets/sheet6.xml" Id="R534340e8ad034ef7" /><Relationship Type="http://schemas.openxmlformats.org/officeDocument/2006/relationships/worksheet" Target="/xl/worksheets/sheet7.xml" Id="Rf1a04baa9d054638" /><Relationship Type="http://schemas.openxmlformats.org/officeDocument/2006/relationships/worksheet" Target="/xl/worksheets/sheet8.xml" Id="R5ba2ac4fb3824cde" /><Relationship Type="http://schemas.openxmlformats.org/officeDocument/2006/relationships/worksheet" Target="/xl/worksheets/sheet9.xml" Id="R42b98e16fdd6452e" /><Relationship Type="http://schemas.openxmlformats.org/officeDocument/2006/relationships/worksheet" Target="/xl/worksheets/sheet10.xml" Id="R1d98899abfeb4f30" /><Relationship Type="http://schemas.openxmlformats.org/officeDocument/2006/relationships/worksheet" Target="/xl/worksheets/sheet11.xml" Id="R28b6eb6806874468" /><Relationship Type="http://schemas.openxmlformats.org/officeDocument/2006/relationships/worksheet" Target="/xl/worksheets/sheet12.xml" Id="R08ff8efbfe7b4677" /><Relationship Type="http://schemas.openxmlformats.org/officeDocument/2006/relationships/worksheet" Target="/xl/worksheets/sheet13.xml" Id="R6c0ddd28d60144e3" /><Relationship Type="http://schemas.openxmlformats.org/officeDocument/2006/relationships/worksheet" Target="/xl/worksheets/sheet14.xml" Id="R4014a31893a949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11 — TELECOMUNICACIONES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11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Telecomunicaciones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11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TELECOMUNICACIONES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arpu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churn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net_additions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coverage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spectrum_cost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9">
      <x:formula1>"HIGH,MEDIUM,LOW"</x:formula1>
    </x:dataValidation>
    <x:dataValidation type="list" sqref="J4:J9">
      <x:formula1>"YES,NO"</x:formula1>
    </x:dataValidation>
    <x:dataValidation type="list" sqref="K4:K9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0.025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0.010000000000000002</x:v>
      </x:c>
      <x:c r="J4" s="76" t="n">
        <x:f>MAX(K4,MIN(L4,I4+H4))</x:f>
        <x:v>0.010000000000000002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0.19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0.12350000000000001</x:v>
      </x:c>
      <x:c r="J5" s="76" t="n">
        <x:f>MAX(K5,MIN(L5,I5+H5))</x:f>
        <x:v>0.12350000000000001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0.128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0.032</x:v>
      </x:c>
      <x:c r="J7" s="76" t="n">
        <x:f>MAX(K7,MIN(L7,I7+H7))</x:f>
        <x:v>0.032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0.16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0.16</x:v>
      </x:c>
      <x:c r="J8" s="76" t="n">
        <x:f>MAX(K8,MIN(L8,I8+H8))</x:f>
        <x:v>0.16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0.005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0.00125</x:v>
      </x:c>
      <x:c r="J9" s="76" t="n">
        <x:f>MAX(K9,MIN(L9,I9+H9))</x:f>
        <x:v>0.00125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0.015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0.015</x:v>
      </x:c>
      <x:c r="J10" s="76" t="n">
        <x:f>MAX(K10,MIN(L10,I10+H10))</x:f>
        <x:v>0.015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7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7</x:v>
      </x:c>
      <x:c r="J12" s="78" t="n">
        <x:f>MAX(K12,MIN(L12,I12+H12))</x:f>
        <x:v>7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-0.025</x:v>
      </x:c>
      <x:c r="D6" s="76" t="n">
        <x:f>MAX(-0.20,MIN(0.35,'06_DRIVERS'!$J$4*0.9+-0.035))</x:f>
        <x:v>-0.026000000000000002</x:v>
      </x:c>
      <x:c r="E6" s="76" t="n">
        <x:f>MAX(-0.20,MIN(0.35,'06_DRIVERS'!$J$4*0.8+-0.035))</x:f>
        <x:v>-0.027000000000000003</x:v>
      </x:c>
      <x:c r="F6" s="76" t="n">
        <x:f>MAX(-0.20,MIN(0.35,'06_DRIVERS'!$J$4*0.7+-0.035))</x:f>
        <x:v>-0.028000000000000004</x:v>
      </x:c>
      <x:c r="G6" s="76" t="n">
        <x:f>MAX(-0.20,MIN(0.35,'06_DRIVERS'!$J$4*0.6+-0.035))</x:f>
        <x:v>-0.029</x:v>
      </x:c>
      <x:c r="H6" s="62"/>
      <x:c r="I6" s="62" t="str">
        <x:v>Growth</x:v>
      </x:c>
      <x:c r="J6" s="75"/>
      <x:c r="K6" s="76" t="n">
        <x:f>MAX(-0.20,MIN(0.35,'06_DRIVERS'!$J$4*1+0))</x:f>
        <x:v>0.010000000000000002</x:v>
      </x:c>
      <x:c r="L6" s="76" t="n">
        <x:f>MAX(-0.20,MIN(0.35,'06_DRIVERS'!$J$4*0.9+0))</x:f>
        <x:v>0.009000000000000003</x:v>
      </x:c>
      <x:c r="M6" s="76" t="n">
        <x:f>MAX(-0.20,MIN(0.35,'06_DRIVERS'!$J$4*0.8+0))</x:f>
        <x:v>0.008000000000000002</x:v>
      </x:c>
      <x:c r="N6" s="76" t="n">
        <x:f>MAX(-0.20,MIN(0.35,'06_DRIVERS'!$J$4*0.7+0))</x:f>
        <x:v>0.007000000000000001</x:v>
      </x:c>
      <x:c r="O6" s="76" t="n">
        <x:f>MAX(-0.20,MIN(0.35,'06_DRIVERS'!$J$4*0.6+0))</x:f>
        <x:v>0.006000000000000001</x:v>
      </x:c>
      <x:c r="P6" s="62"/>
      <x:c r="Q6" s="62" t="str">
        <x:v>Growth</x:v>
      </x:c>
      <x:c r="R6" s="75"/>
      <x:c r="S6" s="76" t="n">
        <x:f>MAX(-0.20,MIN(0.35,'06_DRIVERS'!$J$4*1+0.035))</x:f>
        <x:v>0.045000000000000005</x:v>
      </x:c>
      <x:c r="T6" s="76" t="n">
        <x:f>MAX(-0.20,MIN(0.35,'06_DRIVERS'!$J$4*0.9+0.035))</x:f>
        <x:v>0.044000000000000004</x:v>
      </x:c>
      <x:c r="U6" s="76" t="n">
        <x:f>MAX(-0.20,MIN(0.35,'06_DRIVERS'!$J$4*0.8+0.035))</x:f>
        <x:v>0.043000000000000003</x:v>
      </x:c>
      <x:c r="V6" s="76" t="n">
        <x:f>MAX(-0.20,MIN(0.35,'06_DRIVERS'!$J$4*0.7+0.035))</x:f>
        <x:v>0.042</x:v>
      </x:c>
      <x:c r="W6" s="76" t="n">
        <x:f>MAX(-0.20,MIN(0.35,'06_DRIVERS'!$J$4*0.6+0.035))</x:f>
        <x:v>0.041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-0.0002999999999999982</x:v>
      </x:c>
      <x:c r="D7" s="76" t="n">
        <x:f>MAX(-0.30,MIN(0.50,'03_NORMALIZACION'!$E$9+('06_DRIVERS'!$J$5-'03_NORMALIZACION'!$E$9)*0.4+-0.025))</x:f>
        <x:v>0.024400000000000005</x:v>
      </x:c>
      <x:c r="E7" s="76" t="n">
        <x:f>MAX(-0.30,MIN(0.50,'03_NORMALIZACION'!$E$9+('06_DRIVERS'!$J$5-'03_NORMALIZACION'!$E$9)*0.6+-0.025))</x:f>
        <x:v>0.0491</x:v>
      </x:c>
      <x:c r="F7" s="76" t="n">
        <x:f>MAX(-0.30,MIN(0.50,'03_NORMALIZACION'!$E$9+('06_DRIVERS'!$J$5-'03_NORMALIZACION'!$E$9)*0.8+-0.025))</x:f>
        <x:v>0.0738</x:v>
      </x:c>
      <x:c r="G7" s="76" t="n">
        <x:f>MAX(-0.30,MIN(0.50,'03_NORMALIZACION'!$E$9+('06_DRIVERS'!$J$5-'03_NORMALIZACION'!$E$9)*1.0+-0.025))</x:f>
        <x:v>0.0985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0.024700000000000003</x:v>
      </x:c>
      <x:c r="L7" s="76" t="n">
        <x:f>MAX(-0.30,MIN(0.50,'03_NORMALIZACION'!$E$9+('06_DRIVERS'!$J$5-'03_NORMALIZACION'!$E$9)*0.4+0))</x:f>
        <x:v>0.049400000000000006</x:v>
      </x:c>
      <x:c r="M7" s="76" t="n">
        <x:f>MAX(-0.30,MIN(0.50,'03_NORMALIZACION'!$E$9+('06_DRIVERS'!$J$5-'03_NORMALIZACION'!$E$9)*0.6+0))</x:f>
        <x:v>0.0741</x:v>
      </x:c>
      <x:c r="N7" s="76" t="n">
        <x:f>MAX(-0.30,MIN(0.50,'03_NORMALIZACION'!$E$9+('06_DRIVERS'!$J$5-'03_NORMALIZACION'!$E$9)*0.8+0))</x:f>
        <x:v>0.09880000000000001</x:v>
      </x:c>
      <x:c r="O7" s="76" t="n">
        <x:f>MAX(-0.30,MIN(0.50,'03_NORMALIZACION'!$E$9+('06_DRIVERS'!$J$5-'03_NORMALIZACION'!$E$9)*1.0+0))</x:f>
        <x:v>0.12350000000000001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0.04970000000000001</x:v>
      </x:c>
      <x:c r="T7" s="76" t="n">
        <x:f>MAX(-0.30,MIN(0.50,'03_NORMALIZACION'!$E$9+('06_DRIVERS'!$J$5-'03_NORMALIZACION'!$E$9)*0.4+0.025))</x:f>
        <x:v>0.07440000000000001</x:v>
      </x:c>
      <x:c r="U7" s="76" t="n">
        <x:f>MAX(-0.30,MIN(0.50,'03_NORMALIZACION'!$E$9+('06_DRIVERS'!$J$5-'03_NORMALIZACION'!$E$9)*0.6+0.025))</x:f>
        <x:v>0.0991</x:v>
      </x:c>
      <x:c r="V7" s="76" t="n">
        <x:f>MAX(-0.30,MIN(0.50,'03_NORMALIZACION'!$E$9+('06_DRIVERS'!$J$5-'03_NORMALIZACION'!$E$9)*0.8+0.025))</x:f>
        <x:v>0.12380000000000002</x:v>
      </x:c>
      <x:c r="W7" s="76" t="n">
        <x:f>MAX(-0.30,MIN(0.50,'03_NORMALIZACION'!$E$9+('06_DRIVERS'!$J$5-'03_NORMALIZACION'!$E$9)*1.0+0.025))</x:f>
        <x:v>0.14850000000000002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11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0.015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sector_metrics.arpu.fy3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sector_metrics.arpu.fy2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sector_metrics.arpu.fy1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sector_metrics.arpu.fy0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sector_metrics.churn.fy3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sector_metrics.churn.fy2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sector_metrics.churn.fy1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sector_metrics.churn.fy0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sector_metrics.net_additions.fy3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sector_metrics.net_additions.fy2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sector_metrics.net_additions.fy1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sector_metrics.net_additions.fy0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sector_metrics.coverage.fy3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sector_metrics.coverage.fy2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sector_metrics.coverage.fy1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sector_metrics.coverage.fy0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sector_metrics.capex_to_revenue.fy3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sector_metrics.capex_to_revenue.fy2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sector_metrics.capex_to_revenue.fy1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sector_metrics.capex_to_revenue.fy0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sector_metrics.spectrum_cost.fy3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