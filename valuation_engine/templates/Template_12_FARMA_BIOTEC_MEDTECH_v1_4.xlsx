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5cf543b95c48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STRUCCIONES" sheetId="1" r:id="R2029e559c3d84f67"/>
    <x:sheet xmlns:r="http://schemas.openxmlformats.org/officeDocument/2006/relationships" name="01_CONTROL" sheetId="2" r:id="R030fc8300a24402d"/>
    <x:sheet xmlns:r="http://schemas.openxmlformats.org/officeDocument/2006/relationships" name="02_DATOS_RAW" sheetId="3" r:id="R436dc8b3227e4c69"/>
    <x:sheet xmlns:r="http://schemas.openxmlformats.org/officeDocument/2006/relationships" name="03_NORMALIZACION" sheetId="4" r:id="R5048aa02ab7c426e"/>
    <x:sheet xmlns:r="http://schemas.openxmlformats.org/officeDocument/2006/relationships" name="04_METRICAS_SECTOR" sheetId="5" r:id="R1be2fb3c70a24bd7"/>
    <x:sheet xmlns:r="http://schemas.openxmlformats.org/officeDocument/2006/relationships" name="05_AJUSTES_NOTICIAS" sheetId="6" r:id="R2ec9f623f2484e88"/>
    <x:sheet xmlns:r="http://schemas.openxmlformats.org/officeDocument/2006/relationships" name="06_DRIVERS" sheetId="7" r:id="R219387262cf2469c"/>
    <x:sheet xmlns:r="http://schemas.openxmlformats.org/officeDocument/2006/relationships" name="07_WACC" sheetId="8" r:id="R2de3ce3def0444ce"/>
    <x:sheet xmlns:r="http://schemas.openxmlformats.org/officeDocument/2006/relationships" name="08_PROYECCIONES" sheetId="9" r:id="Rc819eb038d2e48f8"/>
    <x:sheet xmlns:r="http://schemas.openxmlformats.org/officeDocument/2006/relationships" name="09_VALORACION" sheetId="10" r:id="R8bedb5fb8d374daf"/>
    <x:sheet xmlns:r="http://schemas.openxmlformats.org/officeDocument/2006/relationships" name="10_RESULTADO" sheetId="11" r:id="R51275c3238fd411c"/>
    <x:sheet xmlns:r="http://schemas.openxmlformats.org/officeDocument/2006/relationships" name="11_OUTPUT_API" sheetId="12" r:id="R4170b438e6fc4141"/>
    <x:sheet xmlns:r="http://schemas.openxmlformats.org/officeDocument/2006/relationships" name="12_MAPEO_SOFTWARE" sheetId="13" r:id="Rf486c83eec5d4e17"/>
    <x:sheet xmlns:r="http://schemas.openxmlformats.org/officeDocument/2006/relationships" name="13_VALIDACIONES" sheetId="14" r:id="R7826cef616174a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;[Red](#,##0.0);-"/>
    <x:numFmt numFmtId="201" formatCode="0"/>
    <x:numFmt numFmtId="202" formatCode="0.0%;[Red](0.0%);-"/>
    <x:numFmt numFmtId="203" formatCode="0.0x;[Red](0.0x);-"/>
    <x:numFmt numFmtId="204" formatCode="0.000x"/>
    <x:numFmt numFmtId="205" formatCode="0.0000"/>
    <x:numFmt numFmtId="206" formatCode="0.0000x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FFFF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1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0" fillId="0" borderId="0" xfId="0" applyNumberFormat="1" applyFont="1" applyFill="1" applyBorder="1"/>
    <x:xf numFmtId="200" fontId="5" fillId="0" borderId="1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4" fillId="5" borderId="0" xfId="0" applyNumberFormat="1" applyFont="1" applyFill="1" applyBorder="1"/>
    <x:xf numFmtId="202" fontId="4" fillId="5" borderId="1" xfId="0" applyNumberFormat="1" applyFont="1" applyFill="1" applyBorder="1"/>
    <x:xf numFmtId="203" fontId="4" fillId="5" borderId="0" xfId="0" applyNumberFormat="1" applyFont="1" applyFill="1" applyBorder="1"/>
    <x:xf numFmtId="203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left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left"/>
    </x:xf>
    <x:xf numFmtId="0" fontId="6" fillId="6" borderId="0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2" fontId="4" fillId="5" borderId="0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203" fontId="4" fillId="5" borderId="0" xfId="0" applyNumberFormat="1" applyFont="1" applyFill="1" applyBorder="1" applyAlignment="1">
      <x:alignment vertical="center"/>
    </x:xf>
    <x:xf numFmtId="203" fontId="4" fillId="5" borderId="1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horizontal="left" vertical="center"/>
    </x:xf>
    <x:xf numFmtId="0" fontId="6" fillId="6" borderId="1" xfId="0" applyNumberFormat="1" applyFont="1" applyFill="1" applyBorder="1" applyAlignment="1">
      <x:alignment horizontal="left" vertical="center"/>
    </x:xf>
    <x:xf numFmtId="0" fontId="6" fillId="6" borderId="0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horizontal="center" vertical="center"/>
    </x:xf>
    <x:xf numFmtId="204" fontId="0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202" fontId="4" fillId="8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vertical="center"/>
    </x:xf>
    <x:xf numFmtId="0" fontId="2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 applyAlignment="1">
      <x:alignment vertical="center"/>
    </x:xf>
    <x:xf numFmtId="0" fontId="4" fillId="11" borderId="0" xfId="0" applyNumberFormat="1" applyFont="1" applyFill="1" applyBorder="1" applyAlignment="1">
      <x:alignment vertical="center"/>
    </x:xf>
    <x:xf numFmtId="202" fontId="4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 applyAlignment="1">
      <x:alignment vertical="center"/>
    </x:xf>
    <x:xf numFmtId="0" fontId="3" fillId="12" borderId="0" xfId="0" applyNumberFormat="1" applyFont="1" applyFill="1" applyBorder="1" applyAlignment="1">
      <x:alignment vertical="center"/>
    </x:xf>
    <x:xf numFmtId="0" fontId="3" fillId="12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 applyAlignment="1">
      <x:alignment vertical="center"/>
    </x:xf>
    <x:xf numFmtId="0" fontId="6" fillId="13" borderId="0" xfId="0" applyNumberFormat="1" applyFont="1" applyFill="1" applyBorder="1" applyAlignment="1">
      <x:alignment vertical="center"/>
    </x:xf>
    <x:xf numFmtId="0" fontId="6" fillId="13" borderId="0" xfId="0" applyNumberFormat="1" applyFont="1" applyFill="1" applyBorder="1" applyAlignment="1">
      <x:alignment vertical="center" wrapText="1"/>
    </x:xf>
    <x:xf numFmtId="202" fontId="0" fillId="11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202" fontId="0" fillId="5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 applyAlignment="1">
      <x:alignment vertical="center"/>
    </x:xf>
    <x:xf numFmtId="0" fontId="2" fillId="1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42db3f2a3e45e6" /><Relationship Type="http://schemas.openxmlformats.org/officeDocument/2006/relationships/theme" Target="/xl/theme/theme1.xml" Id="Rfa1d1e960c894ade" /><Relationship Type="http://schemas.openxmlformats.org/officeDocument/2006/relationships/sharedStrings" Target="/xl/sharedStrings.xml" Id="R7440806a5e6c465f" /><Relationship Type="http://schemas.openxmlformats.org/officeDocument/2006/relationships/worksheet" Target="/xl/worksheets/sheet1.xml" Id="R2029e559c3d84f67" /><Relationship Type="http://schemas.openxmlformats.org/officeDocument/2006/relationships/worksheet" Target="/xl/worksheets/sheet2.xml" Id="R030fc8300a24402d" /><Relationship Type="http://schemas.openxmlformats.org/officeDocument/2006/relationships/worksheet" Target="/xl/worksheets/sheet3.xml" Id="R436dc8b3227e4c69" /><Relationship Type="http://schemas.openxmlformats.org/officeDocument/2006/relationships/worksheet" Target="/xl/worksheets/sheet4.xml" Id="R5048aa02ab7c426e" /><Relationship Type="http://schemas.openxmlformats.org/officeDocument/2006/relationships/worksheet" Target="/xl/worksheets/sheet5.xml" Id="R1be2fb3c70a24bd7" /><Relationship Type="http://schemas.openxmlformats.org/officeDocument/2006/relationships/worksheet" Target="/xl/worksheets/sheet6.xml" Id="R2ec9f623f2484e88" /><Relationship Type="http://schemas.openxmlformats.org/officeDocument/2006/relationships/worksheet" Target="/xl/worksheets/sheet7.xml" Id="R219387262cf2469c" /><Relationship Type="http://schemas.openxmlformats.org/officeDocument/2006/relationships/worksheet" Target="/xl/worksheets/sheet8.xml" Id="R2de3ce3def0444ce" /><Relationship Type="http://schemas.openxmlformats.org/officeDocument/2006/relationships/worksheet" Target="/xl/worksheets/sheet9.xml" Id="Rc819eb038d2e48f8" /><Relationship Type="http://schemas.openxmlformats.org/officeDocument/2006/relationships/worksheet" Target="/xl/worksheets/sheet10.xml" Id="R8bedb5fb8d374daf" /><Relationship Type="http://schemas.openxmlformats.org/officeDocument/2006/relationships/worksheet" Target="/xl/worksheets/sheet11.xml" Id="R51275c3238fd411c" /><Relationship Type="http://schemas.openxmlformats.org/officeDocument/2006/relationships/worksheet" Target="/xl/worksheets/sheet12.xml" Id="R4170b438e6fc4141" /><Relationship Type="http://schemas.openxmlformats.org/officeDocument/2006/relationships/worksheet" Target="/xl/worksheets/sheet13.xml" Id="Rf486c83eec5d4e17" /><Relationship Type="http://schemas.openxmlformats.org/officeDocument/2006/relationships/worksheet" Target="/xl/worksheets/sheet14.xml" Id="R7826cef616174a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28" customHeight="1">
      <x:c r="A1" s="5" t="str">
        <x:v>PLANTILLA 12 — FARMA / BIOTECNOLOGÍA / MEDTECH</x:v>
      </x:c>
      <x:c r="B1" s="5"/>
      <x:c r="C1" s="5"/>
      <x:c r="D1" s="5"/>
      <x:c r="E1" s="5"/>
      <x:c r="F1" s="5"/>
      <x:c r="G1" s="5"/>
      <x:c r="H1" s="5"/>
      <x:c r="I1" s="5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63" t="str">
        <x:v>template_code</x:v>
      </x:c>
      <x:c r="B3" s="64" t="str">
        <x:v>12</x:v>
      </x:c>
      <x:c r="C3" s="62"/>
      <x:c r="D3" s="62"/>
      <x:c r="E3" s="62"/>
      <x:c r="F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3" t="str">
        <x:v>model_version</x:v>
      </x:c>
      <x:c r="B4" s="64" t="str">
        <x:v>1.4.0</x:v>
      </x:c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3" t="str">
        <x:v>sector</x:v>
      </x:c>
      <x:c r="B5" s="64" t="str">
        <x:v>Farma / biotecnología / MedTech</x:v>
      </x:c>
      <x:c r="C5" s="62"/>
      <x:c r="D5" s="62"/>
      <x:c r="E5" s="62"/>
      <x:c r="F5" s="62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3" t="str">
        <x:v>family</x:v>
      </x:c>
      <x:c r="B6" s="64" t="str">
        <x:v>PHARMA</x:v>
      </x:c>
      <x:c r="C6" s="62"/>
      <x:c r="D6" s="62"/>
      <x:c r="E6" s="62"/>
      <x:c r="F6" s="62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3" t="str">
        <x:v>objetivo</x:v>
      </x:c>
      <x:c r="B7" s="64" t="str">
        <x:v>Plantilla auditable para carga automática JSON→Excel y recálculo en LibreOffice headless.</x:v>
      </x:c>
      <x:c r="C7" s="62"/>
      <x:c r="D7" s="62"/>
      <x:c r="E7" s="62"/>
      <x:c r="F7" s="62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3" t="str">
        <x:v>contrato</x:v>
      </x:c>
      <x:c r="B8" s="64" t="str">
        <x:v>Mismas 14 pestañas, campos JSON comunes y salida universal en las 16 plantillas.</x:v>
      </x:c>
      <x:c r="C8" s="62"/>
      <x:c r="D8" s="62"/>
      <x:c r="E8" s="62"/>
      <x:c r="F8" s="62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3" t="str">
        <x:v>cadena</x:v>
      </x:c>
      <x:c r="B9" s="64" t="str">
        <x:v>DATOS_RAW -&gt; NORMALIZACION -&gt; DRIVERS -&gt; AJUSTES_NOTICIAS -&gt; WACC DINAMICO -&gt; PROYECCIONES -&gt; VALORACION -&gt; OUTPUT_API</x:v>
      </x:c>
      <x:c r="C9" s="62"/>
      <x:c r="D9" s="62"/>
      <x:c r="E9" s="62"/>
      <x:c r="F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3" t="str">
        <x:v>motor</x:v>
      </x:c>
      <x:c r="B10" s="64" t="str">
        <x:v>LibreOffice headless sobre Linux. Sin VBA, TABLE(), Power Query obligatorio ni vínculos externos.</x:v>
      </x:c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3" t="str">
        <x:v>inputs</x:v>
      </x:c>
      <x:c r="B11" s="64" t="str">
        <x:v>Celdas amarillas con texto azul.</x:v>
      </x:c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3" t="str">
        <x:v>formulas</x:v>
      </x:c>
      <x:c r="B12" s="64" t="str">
        <x:v>Fórmulas negras; referencias internas verdes cuando proceda.</x:v>
      </x:c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3" t="str">
        <x:v>noticias</x:v>
      </x:c>
      <x:c r="B13" s="64" t="str">
        <x:v>Nunca modifican el valor final directamente; solo drivers dentro de límites y con aprobación.</x:v>
      </x:c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3" t="str">
        <x:v>estado</x:v>
      </x:c>
      <x:c r="B14" s="64" t="str">
        <x:v>ERP Damodaran TOTAL: Ke = Rf + beta x ERP; pais.riesgo_extra_por_pais NO se añade otra vez. Tres escenarios con spreads propios y ajustes auditables.</x:v>
      </x:c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14" hidden="0" customWidth="1"/>
    <x:col min="4" max="4" width="18" hidden="0" customWidth="1"/>
    <x:col min="5" max="5" width="14" hidden="0" customWidth="1"/>
    <x:col min="6" max="6" width="13" hidden="0" customWidth="1"/>
    <x:col min="7" max="7" width="20" hidden="0" customWidth="1"/>
    <x:col min="8" max="8" width="82" hidden="0" customWidth="1"/>
  </x:cols>
  <x:sheetData>
    <x:row r="1" ht="28" customHeight="1">
      <x:c r="A1" s="5" t="str">
        <x:v>CONTROL DE EMPRESA E INSTRUMENTO</x:v>
      </x:c>
      <x:c r="B1" s="5"/>
      <x:c r="C1" s="5"/>
      <x:c r="D1" s="5"/>
      <x:c r="E1" s="5"/>
      <x:c r="F1" s="5"/>
      <x:c r="G1" s="5"/>
      <x:c r="H1" s="5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Campo JSON</x:v>
      </x:c>
      <x:c r="B3" s="22" t="str">
        <x:v>Valor</x:v>
      </x:c>
      <x:c r="C3" s="22" t="str">
        <x:v>Tipo</x:v>
      </x:c>
      <x:c r="D3" s="22" t="str">
        <x:v>Unidad</x:v>
      </x:c>
      <x:c r="E3" s="22" t="str">
        <x:v>Obligatorio</x:v>
      </x:c>
      <x:c r="F3" s="22" t="str">
        <x:v>Escribible</x:v>
      </x:c>
      <x:c r="G3" s="22" t="str">
        <x:v>Validación</x:v>
      </x:c>
      <x:c r="H3" s="22" t="str">
        <x:v>Notas</x:v>
      </x:c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company_id</x:v>
      </x:c>
      <x:c r="B4" s="68" t="str"/>
      <x:c r="C4" s="62" t="str">
        <x:v>string</x:v>
      </x:c>
      <x:c r="D4" s="62" t="str"/>
      <x:c r="E4" s="62" t="str">
        <x:v>Sí</x:v>
      </x:c>
      <x:c r="F4" s="62" t="str">
        <x:v>Sí</x:v>
      </x:c>
      <x:c r="G4" s="62" t="str">
        <x:v>no vacío</x:v>
      </x:c>
      <x:c r="H4" s="62" t="str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instrument_id</x:v>
      </x:c>
      <x:c r="B5" s="68" t="str"/>
      <x:c r="C5" s="62" t="str">
        <x:v>string</x:v>
      </x:c>
      <x:c r="D5" s="62" t="str"/>
      <x:c r="E5" s="62" t="str">
        <x:v>Sí</x:v>
      </x:c>
      <x:c r="F5" s="62" t="str">
        <x:v>Sí</x:v>
      </x:c>
      <x:c r="G5" s="62" t="str">
        <x:v>no vacío</x:v>
      </x:c>
      <x:c r="H5" s="62" t="str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company_name</x:v>
      </x:c>
      <x:c r="B6" s="68" t="str"/>
      <x:c r="C6" s="62" t="str">
        <x:v>string</x:v>
      </x:c>
      <x:c r="D6" s="62" t="str"/>
      <x:c r="E6" s="62" t="str">
        <x:v>Sí</x:v>
      </x:c>
      <x:c r="F6" s="62" t="str">
        <x:v>Sí</x:v>
      </x:c>
      <x:c r="G6" s="62" t="str">
        <x:v>no vacío</x:v>
      </x:c>
      <x:c r="H6" s="62" t="str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ticker</x:v>
      </x:c>
      <x:c r="B7" s="68" t="str"/>
      <x:c r="C7" s="62" t="str">
        <x:v>string</x:v>
      </x:c>
      <x:c r="D7" s="62" t="str"/>
      <x:c r="E7" s="62" t="str">
        <x:v>Sí</x:v>
      </x:c>
      <x:c r="F7" s="62" t="str">
        <x:v>Sí</x:v>
      </x:c>
      <x:c r="G7" s="62" t="str">
        <x:v>no vacío</x:v>
      </x:c>
      <x:c r="H7" s="62" t="str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isin</x:v>
      </x:c>
      <x:c r="B8" s="68" t="str"/>
      <x:c r="C8" s="62" t="str">
        <x:v>string</x:v>
      </x:c>
      <x:c r="D8" s="62" t="str"/>
      <x:c r="E8" s="62" t="str">
        <x:v>No</x:v>
      </x:c>
      <x:c r="F8" s="62" t="str">
        <x:v>Sí</x:v>
      </x:c>
      <x:c r="G8" s="62" t="str">
        <x:v>formato ISIN</x:v>
      </x:c>
      <x:c r="H8" s="62" t="str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market</x:v>
      </x:c>
      <x:c r="B9" s="68" t="str">
        <x:v>US</x:v>
      </x:c>
      <x:c r="C9" s="62" t="str">
        <x:v>enum</x:v>
      </x:c>
      <x:c r="D9" s="62" t="str"/>
      <x:c r="E9" s="62" t="str">
        <x:v>Sí</x:v>
      </x:c>
      <x:c r="F9" s="62" t="str">
        <x:v>Sí</x:v>
      </x:c>
      <x:c r="G9" s="62" t="str">
        <x:v>lista</x:v>
      </x:c>
      <x:c r="H9" s="62" t="str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currency</x:v>
      </x:c>
      <x:c r="B10" s="68" t="str">
        <x:v>USD</x:v>
      </x:c>
      <x:c r="C10" s="62" t="str">
        <x:v>string</x:v>
      </x:c>
      <x:c r="D10" s="62" t="str">
        <x:v>ISO 4217</x:v>
      </x:c>
      <x:c r="E10" s="62" t="str">
        <x:v>Sí</x:v>
      </x:c>
      <x:c r="F10" s="62" t="str">
        <x:v>Sí</x:v>
      </x:c>
      <x:c r="G10" s="62" t="str">
        <x:v>3 letras</x:v>
      </x:c>
      <x:c r="H10" s="62" t="str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valuation_date</x:v>
      </x:c>
      <x:c r="B11" s="68" t="str"/>
      <x:c r="C11" s="62" t="str">
        <x:v>date</x:v>
      </x:c>
      <x:c r="D11" s="62" t="str">
        <x:v>AAAA-MM-DD</x:v>
      </x:c>
      <x:c r="E11" s="62" t="str">
        <x:v>Sí</x:v>
      </x:c>
      <x:c r="F11" s="62" t="str">
        <x:v>Sí</x:v>
      </x:c>
      <x:c r="G11" s="62" t="str">
        <x:v>fecha válida</x:v>
      </x:c>
      <x:c r="H11" s="62" t="str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price_per_share</x:v>
      </x:c>
      <x:c r="B12" s="69" t="str"/>
      <x:c r="C12" s="62" t="str">
        <x:v>number</x:v>
      </x:c>
      <x:c r="D12" s="62" t="str">
        <x:v>moneda/acción</x:v>
      </x:c>
      <x:c r="E12" s="62" t="str">
        <x:v>Sí</x:v>
      </x:c>
      <x:c r="F12" s="62" t="str">
        <x:v>Sí</x:v>
      </x:c>
      <x:c r="G12" s="62" t="str">
        <x:v>&gt;0</x:v>
      </x:c>
      <x:c r="H12" s="62" t="str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diluted_shares</x:v>
      </x:c>
      <x:c r="B13" s="69" t="str"/>
      <x:c r="C13" s="62" t="str">
        <x:v>number</x:v>
      </x:c>
      <x:c r="D13" s="62" t="str">
        <x:v>millones</x:v>
      </x:c>
      <x:c r="E13" s="62" t="str">
        <x:v>Sí</x:v>
      </x:c>
      <x:c r="F13" s="62" t="str">
        <x:v>Sí</x:v>
      </x:c>
      <x:c r="G13" s="62" t="str">
        <x:v>&gt;0</x:v>
      </x:c>
      <x:c r="H13" s="62" t="str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gross_debt_fy0</x:v>
      </x:c>
      <x:c r="B14" s="69" t="str"/>
      <x:c r="C14" s="62" t="str">
        <x:v>number</x:v>
      </x:c>
      <x:c r="D14" s="62" t="str">
        <x:v>millones</x:v>
      </x:c>
      <x:c r="E14" s="62" t="str">
        <x:v>Sí</x:v>
      </x:c>
      <x:c r="F14" s="62" t="str">
        <x:v>Sí</x:v>
      </x:c>
      <x:c r="G14" s="62" t="str">
        <x:v>&gt;=0</x:v>
      </x:c>
      <x:c r="H14" s="62" t="str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cash_fy0</x:v>
      </x:c>
      <x:c r="B15" s="69" t="str"/>
      <x:c r="C15" s="62" t="str">
        <x:v>number</x:v>
      </x:c>
      <x:c r="D15" s="62" t="str">
        <x:v>millones</x:v>
      </x:c>
      <x:c r="E15" s="62" t="str">
        <x:v>Sí</x:v>
      </x:c>
      <x:c r="F15" s="62" t="str">
        <x:v>Sí</x:v>
      </x:c>
      <x:c r="G15" s="62" t="str">
        <x:v>&gt;=0</x:v>
      </x:c>
      <x:c r="H15" s="62" t="str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minority_interest_fy0</x:v>
      </x:c>
      <x:c r="B16" s="69" t="n">
        <x:v>0</x:v>
      </x:c>
      <x:c r="C16" s="62" t="str">
        <x:v>number</x:v>
      </x:c>
      <x:c r="D16" s="62" t="str">
        <x:v>millones</x:v>
      </x:c>
      <x:c r="E16" s="62" t="str">
        <x:v>No</x:v>
      </x:c>
      <x:c r="F16" s="62" t="str">
        <x:v>Sí</x:v>
      </x:c>
      <x:c r="G16" s="62" t="str">
        <x:v>&gt;=0</x:v>
      </x:c>
      <x:c r="H16" s="62" t="str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template_code</x:v>
      </x:c>
      <x:c r="B17" s="68" t="str">
        <x:v>12</x:v>
      </x:c>
      <x:c r="C17" s="62" t="str">
        <x:v>string</x:v>
      </x:c>
      <x:c r="D17" s="62" t="str"/>
      <x:c r="E17" s="62" t="str">
        <x:v>Sí</x:v>
      </x:c>
      <x:c r="F17" s="62" t="str">
        <x:v>No</x:v>
      </x:c>
      <x:c r="G17" s="62" t="str">
        <x:v>fijo</x:v>
      </x:c>
      <x:c r="H17" s="62" t="str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model_version</x:v>
      </x:c>
      <x:c r="B18" s="68" t="str">
        <x:v>1.4.0</x:v>
      </x:c>
      <x:c r="C18" s="62" t="str">
        <x:v>string</x:v>
      </x:c>
      <x:c r="D18" s="62" t="str"/>
      <x:c r="E18" s="62" t="str">
        <x:v>Sí</x:v>
      </x:c>
      <x:c r="F18" s="62" t="str">
        <x:v>No</x:v>
      </x:c>
      <x:c r="G18" s="62" t="str">
        <x:v>fijo</x:v>
      </x:c>
      <x:c r="H18" s="62" t="str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data_version</x:v>
      </x:c>
      <x:c r="B19" s="68" t="str"/>
      <x:c r="C19" s="62" t="str">
        <x:v>string</x:v>
      </x:c>
      <x:c r="D19" s="62" t="str"/>
      <x:c r="E19" s="62" t="str">
        <x:v>Sí</x:v>
      </x:c>
      <x:c r="F19" s="62" t="str">
        <x:v>Sí</x:v>
      </x:c>
      <x:c r="G19" s="62" t="str">
        <x:v>no vacío</x:v>
      </x:c>
      <x:c r="H19" s="62" t="str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confidence</x:v>
      </x:c>
      <x:c r="B20" s="68" t="str">
        <x:v>MEDIUM</x:v>
      </x:c>
      <x:c r="C20" s="62" t="str">
        <x:v>enum</x:v>
      </x:c>
      <x:c r="D20" s="62" t="str"/>
      <x:c r="E20" s="62" t="str">
        <x:v>Sí</x:v>
      </x:c>
      <x:c r="F20" s="62" t="str">
        <x:v>Sí</x:v>
      </x:c>
      <x:c r="G20" s="62" t="str">
        <x:v>lista</x:v>
      </x:c>
      <x:c r="H20" s="62" t="str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95" t="str">
        <x:v>expected_family</x:v>
      </x:c>
      <x:c r="B21" s="62" t="str">
        <x:v>PHARMA</x:v>
      </x:c>
      <x:c r="C21" s="62" t="str">
        <x:v>string</x:v>
      </x:c>
      <x:c r="D21" s="62" t="str"/>
      <x:c r="E21" s="62" t="str">
        <x:v>Sí</x:v>
      </x:c>
      <x:c r="F21" s="62" t="str">
        <x:v>No</x:v>
      </x:c>
      <x:c r="G21" s="62" t="str">
        <x:v>fijo</x:v>
      </x:c>
      <x:c r="H21" s="62" t="str">
        <x:v>Familia esperada por la plantilla</x:v>
      </x:c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95" t="str">
        <x:v>valuation_method_family</x:v>
      </x:c>
      <x:c r="B22" s="62" t="str">
        <x:v>PHARMA</x:v>
      </x:c>
      <x:c r="C22" s="62" t="str">
        <x:v>string</x:v>
      </x:c>
      <x:c r="D22" s="62" t="str"/>
      <x:c r="E22" s="62" t="str">
        <x:v>Sí</x:v>
      </x:c>
      <x:c r="F22" s="62" t="str">
        <x:v>No</x:v>
      </x:c>
      <x:c r="G22" s="62" t="str">
        <x:v>debe coincidir</x:v>
      </x:c>
      <x:c r="H22" s="62" t="str">
        <x:v>Familia usada por valoración</x:v>
      </x:c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98" t="str">
        <x:v>valuation_run_id</x:v>
      </x:c>
      <x:c r="B23" s="100" t="str"/>
      <x:c r="C23" s="62" t="str">
        <x:v>string</x:v>
      </x:c>
      <x:c r="D23" s="62" t="str"/>
      <x:c r="E23" s="62" t="str">
        <x:v>Sí</x:v>
      </x:c>
      <x:c r="F23" s="62" t="str">
        <x:v>Sí</x:v>
      </x:c>
      <x:c r="G23" s="62" t="str">
        <x:v>no vacío</x:v>
      </x:c>
      <x:c r="H23" s="62" t="str">
        <x:v>Trazabilidad del RUN PREPARANDO</x:v>
      </x:c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98" t="str">
        <x:v>input_snapshot_id</x:v>
      </x:c>
      <x:c r="B24" s="100" t="str"/>
      <x:c r="C24" s="62" t="str">
        <x:v>string</x:v>
      </x:c>
      <x:c r="D24" s="62" t="str"/>
      <x:c r="E24" s="62" t="str">
        <x:v>Sí</x:v>
      </x:c>
      <x:c r="F24" s="62" t="str">
        <x:v>Sí</x:v>
      </x:c>
      <x:c r="G24" s="62" t="str">
        <x:v>no vacío</x:v>
      </x:c>
      <x:c r="H24" s="62" t="str">
        <x:v>Snapshot exacto que alimenta el RUN</x:v>
      </x:c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98" t="str">
        <x:v>reporting_currency</x:v>
      </x:c>
      <x:c r="B25" s="100" t="str"/>
      <x:c r="C25" s="62" t="str">
        <x:v>string</x:v>
      </x:c>
      <x:c r="D25" s="62" t="str">
        <x:v>ISO 4217</x:v>
      </x:c>
      <x:c r="E25" s="62" t="str">
        <x:v>Sí</x:v>
      </x:c>
      <x:c r="F25" s="62" t="str">
        <x:v>Sí</x:v>
      </x:c>
      <x:c r="G25" s="62" t="str">
        <x:v>3 letras</x:v>
      </x:c>
      <x:c r="H25" s="62" t="str">
        <x:v>Moneda de estados financieros</x:v>
      </x:c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98" t="str">
        <x:v>valuation_currency</x:v>
      </x:c>
      <x:c r="B26" s="100" t="str"/>
      <x:c r="C26" s="62" t="str">
        <x:v>string</x:v>
      </x:c>
      <x:c r="D26" s="62" t="str">
        <x:v>ISO 4217</x:v>
      </x:c>
      <x:c r="E26" s="62" t="str">
        <x:v>Sí</x:v>
      </x:c>
      <x:c r="F26" s="62" t="str">
        <x:v>Sí</x:v>
      </x:c>
      <x:c r="G26" s="62" t="str">
        <x:v>3 letras</x:v>
      </x:c>
      <x:c r="H26" s="62" t="str">
        <x:v>Moneda de valoración/salida</x:v>
      </x:c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98" t="str">
        <x:v>fx_rate_used</x:v>
      </x:c>
      <x:c r="B27" s="100" t="n">
        <x:v>1</x:v>
      </x:c>
      <x:c r="C27" s="62" t="str">
        <x:v>number</x:v>
      </x:c>
      <x:c r="D27" s="62" t="str">
        <x:v>valuation/reporting</x:v>
      </x:c>
      <x:c r="E27" s="62" t="str">
        <x:v>Sí</x:v>
      </x:c>
      <x:c r="F27" s="62" t="str">
        <x:v>Sí</x:v>
      </x:c>
      <x:c r="G27" s="62" t="str">
        <x:v>&gt;0</x:v>
      </x:c>
      <x:c r="H27" s="62" t="str">
        <x:v>FX congelado en snapshot</x:v>
      </x:c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98" t="str">
        <x:v>risk_free_rate</x:v>
      </x:c>
      <x:c r="B28" s="101" t="str"/>
      <x:c r="C28" s="62" t="str">
        <x:v>number</x:v>
      </x:c>
      <x:c r="D28" s="62" t="str">
        <x:v>%</x:v>
      </x:c>
      <x:c r="E28" s="62" t="str">
        <x:v>Sí</x:v>
      </x:c>
      <x:c r="F28" s="62" t="str">
        <x:v>Sí</x:v>
      </x:c>
      <x:c r="G28" s="62" t="str">
        <x:v>&gt;=0</x:v>
      </x:c>
      <x:c r="H28" s="62" t="str">
        <x:v>MySQL interes_bono_10_ano / 100</x:v>
      </x:c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98" t="str">
        <x:v>equity_risk_premium</x:v>
      </x:c>
      <x:c r="B29" s="101" t="str"/>
      <x:c r="C29" s="62" t="str">
        <x:v>number</x:v>
      </x:c>
      <x:c r="D29" s="62" t="str">
        <x:v>%</x:v>
      </x:c>
      <x:c r="E29" s="62" t="str">
        <x:v>Sí</x:v>
      </x:c>
      <x:c r="F29" s="62" t="str">
        <x:v>Sí</x:v>
      </x:c>
      <x:c r="G29" s="62" t="str">
        <x:v>&gt;=0</x:v>
      </x:c>
      <x:c r="H29" s="62" t="str">
        <x:v>MySQL prima_riesgo_mercado / 100; Total ERP incluye riesgo pais</x:v>
      </x:c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98" t="str">
        <x:v>country_risk_premium</x:v>
      </x:c>
      <x:c r="B30" s="101" t="n">
        <x:v>0</x:v>
      </x:c>
      <x:c r="C30" s="62" t="str">
        <x:v>number</x:v>
      </x:c>
      <x:c r="D30" s="62" t="str">
        <x:v>%</x:v>
      </x:c>
      <x:c r="E30" s="62" t="str">
        <x:v>Sí</x:v>
      </x:c>
      <x:c r="F30" s="62" t="str">
        <x:v>Sí</x:v>
      </x:c>
      <x:c r="G30" s="62" t="str">
        <x:v>&gt;=0</x:v>
      </x:c>
      <x:c r="H30" s="62" t="str">
        <x:v>Informativo; NO sumar a CAPM ni Kd</x:v>
      </x:c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98" t="str">
        <x:v>size_premium</x:v>
      </x:c>
      <x:c r="B31" s="101" t="n">
        <x:v>0</x:v>
      </x:c>
      <x:c r="C31" s="62" t="str">
        <x:v>number</x:v>
      </x:c>
      <x:c r="D31" s="62" t="str">
        <x:v>%</x:v>
      </x:c>
      <x:c r="E31" s="62" t="str">
        <x:v>Sí</x:v>
      </x:c>
      <x:c r="F31" s="62" t="str">
        <x:v>Sí</x:v>
      </x:c>
      <x:c r="G31" s="62" t="str">
        <x:v>&gt;=0</x:v>
      </x:c>
      <x:c r="H31" s="62" t="str">
        <x:v>Reservado / no incluir otra vez en Ke</x:v>
      </x:c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98" t="str">
        <x:v>tax_rate</x:v>
      </x:c>
      <x:c r="B32" s="101" t="str"/>
      <x:c r="C32" s="62" t="str">
        <x:v>number</x:v>
      </x:c>
      <x:c r="D32" s="62" t="str">
        <x:v>%</x:v>
      </x:c>
      <x:c r="E32" s="62" t="str">
        <x:v>Sí</x:v>
      </x:c>
      <x:c r="F32" s="62" t="str">
        <x:v>Sí</x:v>
      </x:c>
      <x:c r="G32" s="62" t="str">
        <x:v>0..1</x:v>
      </x:c>
      <x:c r="H32" s="62" t="str">
        <x:v>MySQL tasa_impositiva / 100</x:v>
      </x:c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98" t="str">
        <x:v>interest_coverage</x:v>
      </x:c>
      <x:c r="B33" s="100" t="str"/>
      <x:c r="C33" s="62" t="str">
        <x:v>number</x:v>
      </x:c>
      <x:c r="D33" s="62" t="str">
        <x:v>x</x:v>
      </x:c>
      <x:c r="E33" s="62" t="str">
        <x:v>Sí</x:v>
      </x:c>
      <x:c r="F33" s="62" t="str">
        <x:v>Sí</x:v>
      </x:c>
      <x:c r="G33" s="62" t="str">
        <x:v>&gt;=0</x:v>
      </x:c>
      <x:c r="H33" s="62" t="str">
        <x:v>Cobertura / ranking a partir de datos auditados</x:v>
      </x:c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98" t="str">
        <x:v>synthetic_rating</x:v>
      </x:c>
      <x:c r="B34" s="100" t="str"/>
      <x:c r="C34" s="62" t="str">
        <x:v>string</x:v>
      </x:c>
      <x:c r="D34" s="62" t="str"/>
      <x:c r="E34" s="62" t="str">
        <x:v>Sí</x:v>
      </x:c>
      <x:c r="F34" s="62" t="str">
        <x:v>Sí</x:v>
      </x:c>
      <x:c r="G34" s="62" t="str">
        <x:v>no vacío</x:v>
      </x:c>
      <x:c r="H34" s="62" t="str">
        <x:v>Rating seleccionado y su ID</x:v>
      </x:c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98" t="str">
        <x:v>credit_spread</x:v>
      </x:c>
      <x:c r="B35" s="101" t="str"/>
      <x:c r="C35" s="62" t="str">
        <x:v>number</x:v>
      </x:c>
      <x:c r="D35" s="62" t="str">
        <x:v>%</x:v>
      </x:c>
      <x:c r="E35" s="62" t="str">
        <x:v>Sí</x:v>
      </x:c>
      <x:c r="F35" s="62" t="str">
        <x:v>Sí</x:v>
      </x:c>
      <x:c r="G35" s="62" t="str">
        <x:v>&gt;=0</x:v>
      </x:c>
      <x:c r="H35" s="62" t="str">
        <x:v>MySQL spread_credito_base / 100</x:v>
      </x:c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98" t="str">
        <x:v>terminal_growth_max</x:v>
      </x:c>
      <x:c r="B36" s="101" t="str"/>
      <x:c r="C36" s="62" t="str">
        <x:v>number</x:v>
      </x:c>
      <x:c r="D36" s="62" t="str">
        <x:v>%</x:v>
      </x:c>
      <x:c r="E36" s="62" t="str">
        <x:v>Sí</x:v>
      </x:c>
      <x:c r="F36" s="62" t="str">
        <x:v>Sí</x:v>
      </x:c>
      <x:c r="G36" s="62" t="str">
        <x:v>-5%..5%</x:v>
      </x:c>
      <x:c r="H36" s="62" t="str">
        <x:v>Límite sostenible / validar por mercado</x:v>
      </x:c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98" t="str">
        <x:v>sector_beta</x:v>
      </x:c>
      <x:c r="B37" s="100" t="str"/>
      <x:c r="C37" s="62" t="str">
        <x:v>number</x:v>
      </x:c>
      <x:c r="D37" s="62" t="str">
        <x:v>x</x:v>
      </x:c>
      <x:c r="E37" s="62" t="str">
        <x:v>Sí</x:v>
      </x:c>
      <x:c r="F37" s="62" t="str">
        <x:v>Sí</x:v>
      </x:c>
      <x:c r="G37" s="62" t="str">
        <x:v>&gt;0</x:v>
      </x:c>
      <x:c r="H37" s="62" t="str">
        <x:v>SECTOR.sensibilidad_al_mercado (beta)</x:v>
      </x:c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105" t="str">
        <x:v>spread_credito_optimista</x:v>
      </x:c>
      <x:c r="B38" s="108"/>
      <x:c r="C38" s="62" t="str">
        <x:v>number</x:v>
      </x:c>
      <x:c r="D38" s="62" t="str">
        <x:v>%</x:v>
      </x:c>
      <x:c r="E38" s="62" t="str">
        <x:v>Sí</x:v>
      </x:c>
      <x:c r="F38" s="62" t="str">
        <x:v>Sí</x:v>
      </x:c>
      <x:c r="G38" s="62" t="str">
        <x:v>&gt;=0</x:v>
      </x:c>
      <x:c r="H38" s="62" t="str">
        <x:v>MySQL spread_credito_optimista / 100</x:v>
      </x:c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105" t="str">
        <x:v>spread_credito_pesimista</x:v>
      </x:c>
      <x:c r="B39" s="108"/>
      <x:c r="C39" s="62" t="str">
        <x:v>number</x:v>
      </x:c>
      <x:c r="D39" s="62" t="str">
        <x:v>%</x:v>
      </x:c>
      <x:c r="E39" s="62" t="str">
        <x:v>Sí</x:v>
      </x:c>
      <x:c r="F39" s="62" t="str">
        <x:v>Sí</x:v>
      </x:c>
      <x:c r="G39" s="62" t="str">
        <x:v>&gt;=0</x:v>
      </x:c>
      <x:c r="H39" s="62" t="str">
        <x:v>MySQL spread_credito_pesimista / 100</x:v>
      </x:c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105" t="str">
        <x:v>prima_iliquidez</x:v>
      </x:c>
      <x:c r="B40" s="108"/>
      <x:c r="C40" s="62" t="str">
        <x:v>number</x:v>
      </x:c>
      <x:c r="D40" s="62" t="str">
        <x:v>pp</x:v>
      </x:c>
      <x:c r="E40" s="62" t="str">
        <x:v>Sí</x:v>
      </x:c>
      <x:c r="F40" s="62" t="str">
        <x:v>Sí</x:v>
      </x:c>
      <x:c r="G40" s="62" t="str">
        <x:v>revisar</x:v>
      </x:c>
      <x:c r="H40" s="62" t="str">
        <x:v>Los ajustes específicos se escriben POR ESCENARIO en 07_WACC H/J/L filas 30:33</x:v>
      </x:c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105" t="str">
        <x:v>prima_tamano</x:v>
      </x:c>
      <x:c r="B41" s="108"/>
      <x:c r="C41" s="62" t="str">
        <x:v>number</x:v>
      </x:c>
      <x:c r="D41" s="62" t="str">
        <x:v>pp</x:v>
      </x:c>
      <x:c r="E41" s="62" t="str">
        <x:v>Sí</x:v>
      </x:c>
      <x:c r="F41" s="62" t="str">
        <x:v>Sí</x:v>
      </x:c>
      <x:c r="G41" s="62" t="str">
        <x:v>revisar</x:v>
      </x:c>
      <x:c r="H41" s="62" t="str">
        <x:v>Tamaño: origen de datos, metodología y trazabilidad obligatorios</x:v>
      </x:c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105" t="str">
        <x:v>prima_concentracion_clientes</x:v>
      </x:c>
      <x:c r="B42" s="108"/>
      <x:c r="C42" s="62" t="str">
        <x:v>number</x:v>
      </x:c>
      <x:c r="D42" s="62" t="str">
        <x:v>pp</x:v>
      </x:c>
      <x:c r="E42" s="62" t="str">
        <x:v>Sí</x:v>
      </x:c>
      <x:c r="F42" s="62" t="str">
        <x:v>Sí</x:v>
      </x:c>
      <x:c r="G42" s="62" t="str">
        <x:v>revisar</x:v>
      </x:c>
      <x:c r="H42" s="62" t="str">
        <x:v>Concentración: preferible reflejar impacto en FCFF si ya está modelizado</x:v>
      </x:c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105" t="str">
        <x:v>otros_ajustes_wacc</x:v>
      </x:c>
      <x:c r="B43" s="108"/>
      <x:c r="C43" s="62" t="str">
        <x:v>number</x:v>
      </x:c>
      <x:c r="D43" s="62" t="str">
        <x:v>pp</x:v>
      </x:c>
      <x:c r="E43" s="62" t="str">
        <x:v>Sí</x:v>
      </x:c>
      <x:c r="F43" s="62" t="str">
        <x:v>Sí</x:v>
      </x:c>
      <x:c r="G43" s="62" t="str">
        <x:v>revisar</x:v>
      </x:c>
      <x:c r="H43" s="62" t="str">
        <x:v>Riesgos de noticias: solo noticias verificadas; no doble conteo</x:v>
      </x:c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105" t="str">
        <x:v>ke_snapshot</x:v>
      </x:c>
      <x:c r="B44" s="76" t="n">
        <x:f>'07_WACC'!J20</x:f>
        <x:v>0</x:v>
      </x:c>
      <x:c r="C44" s="62" t="str">
        <x:v>number</x:v>
      </x:c>
      <x:c r="D44" s="62" t="str">
        <x:v>%</x:v>
      </x:c>
      <x:c r="E44" s="62" t="str">
        <x:v>Sí</x:v>
      </x:c>
      <x:c r="F44" s="62" t="str">
        <x:v>Sí</x:v>
      </x:c>
      <x:c r="G44" s="62" t="str">
        <x:v>CAPM</x:v>
      </x:c>
      <x:c r="H44" s="62" t="str">
        <x:v>Ke congelado se persiste en valuation_run_parametros; esta fórmula es solo el valor actual</x:v>
      </x:c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105" t="str">
        <x:v>riesgo_pais_incluido_en_erp</x:v>
      </x:c>
      <x:c r="B45" s="62" t="str">
        <x:v>SI</x:v>
      </x:c>
      <x:c r="C45" s="62" t="str">
        <x:v>string</x:v>
      </x:c>
      <x:c r="D45" s="62" t="str">
        <x:v>SI/NO</x:v>
      </x:c>
      <x:c r="E45" s="62" t="str">
        <x:v>Sí</x:v>
      </x:c>
      <x:c r="F45" s="62" t="str">
        <x:v>Sí</x:v>
      </x:c>
      <x:c r="G45" s="62" t="str">
        <x:v>SI</x:v>
      </x:c>
      <x:c r="H45" s="62" t="str">
        <x:v>La prima TOTAL de Damodaran incluye riesgo pais</x:v>
      </x:c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127" t="str">
        <x:v>premium_policy_status</x:v>
      </x:c>
      <x:c r="B46" s="62"/>
      <x:c r="C46" s="62" t="str">
        <x:v>enum</x:v>
      </x:c>
      <x:c r="D46" s="62" t="str">
        <x:v>APPROVED / REVIEW</x:v>
      </x:c>
      <x:c r="E46" s="62" t="str">
        <x:v>Sí</x:v>
      </x:c>
      <x:c r="F46" s="62" t="str">
        <x:v>Sí</x:v>
      </x:c>
      <x:c r="G46" s="62" t="str">
        <x:v>APPROVED o REVIEW</x:v>
      </x:c>
      <x:c r="H46" s="62" t="str">
        <x:v>Regla automatica auditada y aprobada para inversión</x:v>
      </x:c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H1"/>
  </x:mergeCells>
  <x:dataValidations count="2">
    <x:dataValidation type="list" sqref="B9">
      <x:formula1>"US,TW,HK,CN,JP,IN"</x:formula1>
    </x:dataValidation>
    <x:dataValidation type="list" sqref="B20">
      <x:formula1>"HIGH,MEDIUM,LOW"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5" hidden="0" customWidth="1"/>
    <x:col min="7" max="7" width="15" hidden="0" customWidth="1"/>
    <x:col min="8" max="8" width="12" hidden="0" customWidth="1"/>
    <x:col min="9" max="9" width="30" hidden="0" customWidth="1"/>
    <x:col min="10" max="10" width="20" hidden="0" customWidth="1"/>
    <x:col min="11" max="11" width="14" hidden="0" customWidth="1"/>
    <x:col min="12" max="12" width="16" hidden="0" customWidth="1"/>
  </x:cols>
  <x:sheetData>
    <x:row r="1" ht="28" customHeight="1">
      <x:c r="A1" s="5" t="str">
        <x:v>DATOS RAW — HISTÓRICO FINANCIERO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Campo JSON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Unidad modelo</x:v>
      </x:c>
      <x:c r="G3" s="22" t="str">
        <x:v>Unidad origen</x:v>
      </x:c>
      <x:c r="H3" s="22" t="str">
        <x:v>Multiplicador</x:v>
      </x:c>
      <x:c r="I3" s="22" t="str">
        <x:v>Fuente</x:v>
      </x:c>
      <x:c r="J3" s="22" t="str">
        <x:v>Página/URL</x:v>
      </x:c>
      <x:c r="K3" s="22" t="str">
        <x:v>Confianza</x:v>
      </x:c>
      <x:c r="L3" s="22" t="str">
        <x:v>Fecha publicación</x:v>
      </x:c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fiscal_year</x:v>
      </x:c>
      <x:c r="B4" s="72" t="str"/>
      <x:c r="C4" s="72" t="str"/>
      <x:c r="D4" s="72" t="str"/>
      <x:c r="E4" s="72" t="str"/>
      <x:c r="F4" s="62" t="str">
        <x:v>millones</x:v>
      </x:c>
      <x:c r="G4" s="68" t="str">
        <x:v>millones</x:v>
      </x:c>
      <x:c r="H4" s="68" t="n">
        <x:v>1</x:v>
      </x:c>
      <x:c r="I4" s="68" t="str"/>
      <x:c r="J4" s="68" t="str"/>
      <x:c r="K4" s="68" t="str">
        <x:v>MEDIUM</x:v>
      </x:c>
      <x:c r="L4" s="68" t="str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revenue</x:v>
      </x:c>
      <x:c r="B5" s="69" t="str"/>
      <x:c r="C5" s="69" t="str"/>
      <x:c r="D5" s="69" t="str"/>
      <x:c r="E5" s="69" t="str"/>
      <x:c r="F5" s="62" t="str">
        <x:v>millones</x:v>
      </x:c>
      <x:c r="G5" s="68" t="str">
        <x:v>millones</x:v>
      </x:c>
      <x:c r="H5" s="68" t="n">
        <x:v>1</x:v>
      </x:c>
      <x:c r="I5" s="68" t="str"/>
      <x:c r="J5" s="68" t="str"/>
      <x:c r="K5" s="68" t="str">
        <x:v>MEDIUM</x:v>
      </x:c>
      <x:c r="L5" s="68" t="str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ebitda</x:v>
      </x:c>
      <x:c r="B6" s="69" t="str"/>
      <x:c r="C6" s="69" t="str"/>
      <x:c r="D6" s="69" t="str"/>
      <x:c r="E6" s="69" t="str"/>
      <x:c r="F6" s="62" t="str">
        <x:v>millones</x:v>
      </x:c>
      <x:c r="G6" s="68" t="str">
        <x:v>millones</x:v>
      </x:c>
      <x:c r="H6" s="68" t="n">
        <x:v>1</x:v>
      </x:c>
      <x:c r="I6" s="68" t="str"/>
      <x:c r="J6" s="68" t="str"/>
      <x:c r="K6" s="68" t="str">
        <x:v>MEDIUM</x:v>
      </x:c>
      <x:c r="L6" s="68" t="str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ebit</x:v>
      </x:c>
      <x:c r="B7" s="69" t="str"/>
      <x:c r="C7" s="69" t="str"/>
      <x:c r="D7" s="69" t="str"/>
      <x:c r="E7" s="69" t="str"/>
      <x:c r="F7" s="62" t="str">
        <x:v>millones</x:v>
      </x:c>
      <x:c r="G7" s="68" t="str">
        <x:v>millones</x:v>
      </x:c>
      <x:c r="H7" s="68" t="n">
        <x:v>1</x:v>
      </x:c>
      <x:c r="I7" s="68" t="str"/>
      <x:c r="J7" s="68" t="str"/>
      <x:c r="K7" s="68" t="str">
        <x:v>MEDIUM</x:v>
      </x:c>
      <x:c r="L7" s="68" t="str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net_income</x:v>
      </x:c>
      <x:c r="B8" s="69" t="str"/>
      <x:c r="C8" s="69" t="str"/>
      <x:c r="D8" s="69" t="str"/>
      <x:c r="E8" s="69" t="str"/>
      <x:c r="F8" s="62" t="str">
        <x:v>millones</x:v>
      </x:c>
      <x:c r="G8" s="68" t="str">
        <x:v>millones</x:v>
      </x:c>
      <x:c r="H8" s="68" t="n">
        <x:v>1</x:v>
      </x:c>
      <x:c r="I8" s="68" t="str"/>
      <x:c r="J8" s="68" t="str"/>
      <x:c r="K8" s="68" t="str">
        <x:v>MEDIUM</x:v>
      </x:c>
      <x:c r="L8" s="68" t="str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taxes_paid</x:v>
      </x:c>
      <x:c r="B9" s="69" t="str"/>
      <x:c r="C9" s="69" t="str"/>
      <x:c r="D9" s="69" t="str"/>
      <x:c r="E9" s="69" t="str"/>
      <x:c r="F9" s="62" t="str">
        <x:v>millones</x:v>
      </x:c>
      <x:c r="G9" s="68" t="str">
        <x:v>millones</x:v>
      </x:c>
      <x:c r="H9" s="68" t="n">
        <x:v>1</x:v>
      </x:c>
      <x:c r="I9" s="68" t="str"/>
      <x:c r="J9" s="68" t="str"/>
      <x:c r="K9" s="68" t="str">
        <x:v>MEDIUM</x:v>
      </x:c>
      <x:c r="L9" s="68" t="str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da</x:v>
      </x:c>
      <x:c r="B10" s="69" t="str"/>
      <x:c r="C10" s="69" t="str"/>
      <x:c r="D10" s="69" t="str"/>
      <x:c r="E10" s="69" t="str"/>
      <x:c r="F10" s="62" t="str">
        <x:v>millones</x:v>
      </x:c>
      <x:c r="G10" s="68" t="str">
        <x:v>millones</x:v>
      </x:c>
      <x:c r="H10" s="68" t="n">
        <x:v>1</x:v>
      </x:c>
      <x:c r="I10" s="68" t="str"/>
      <x:c r="J10" s="68" t="str"/>
      <x:c r="K10" s="68" t="str">
        <x:v>MEDIUM</x:v>
      </x:c>
      <x:c r="L10" s="68" t="str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capex</x:v>
      </x:c>
      <x:c r="B11" s="69" t="str"/>
      <x:c r="C11" s="69" t="str"/>
      <x:c r="D11" s="69" t="str"/>
      <x:c r="E11" s="69" t="str"/>
      <x:c r="F11" s="62" t="str">
        <x:v>millones</x:v>
      </x:c>
      <x:c r="G11" s="68" t="str">
        <x:v>millones</x:v>
      </x:c>
      <x:c r="H11" s="68" t="n">
        <x:v>1</x:v>
      </x:c>
      <x:c r="I11" s="68" t="str"/>
      <x:c r="J11" s="68" t="str"/>
      <x:c r="K11" s="68" t="str">
        <x:v>MEDIUM</x:v>
      </x:c>
      <x:c r="L11" s="68" t="str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change_nwc</x:v>
      </x:c>
      <x:c r="B12" s="69" t="str"/>
      <x:c r="C12" s="69" t="str"/>
      <x:c r="D12" s="69" t="str"/>
      <x:c r="E12" s="69" t="str"/>
      <x:c r="F12" s="62" t="str">
        <x:v>millones</x:v>
      </x:c>
      <x:c r="G12" s="68" t="str">
        <x:v>millones</x:v>
      </x:c>
      <x:c r="H12" s="68" t="n">
        <x:v>1</x:v>
      </x:c>
      <x:c r="I12" s="68" t="str"/>
      <x:c r="J12" s="68" t="str"/>
      <x:c r="K12" s="68" t="str">
        <x:v>MEDIUM</x:v>
      </x:c>
      <x:c r="L12" s="68" t="str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operating_cash_flow</x:v>
      </x:c>
      <x:c r="B13" s="69" t="str"/>
      <x:c r="C13" s="69" t="str"/>
      <x:c r="D13" s="69" t="str"/>
      <x:c r="E13" s="69" t="str"/>
      <x:c r="F13" s="62" t="str">
        <x:v>millones</x:v>
      </x:c>
      <x:c r="G13" s="68" t="str">
        <x:v>millones</x:v>
      </x:c>
      <x:c r="H13" s="68" t="n">
        <x:v>1</x:v>
      </x:c>
      <x:c r="I13" s="68" t="str"/>
      <x:c r="J13" s="68" t="str"/>
      <x:c r="K13" s="68" t="str">
        <x:v>MEDIUM</x:v>
      </x:c>
      <x:c r="L13" s="68" t="str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free_cash_flow</x:v>
      </x:c>
      <x:c r="B14" s="69" t="str"/>
      <x:c r="C14" s="69" t="str"/>
      <x:c r="D14" s="69" t="str"/>
      <x:c r="E14" s="69" t="str"/>
      <x:c r="F14" s="62" t="str">
        <x:v>millones</x:v>
      </x:c>
      <x:c r="G14" s="68" t="str">
        <x:v>millones</x:v>
      </x:c>
      <x:c r="H14" s="68" t="n">
        <x:v>1</x:v>
      </x:c>
      <x:c r="I14" s="68" t="str"/>
      <x:c r="J14" s="68" t="str"/>
      <x:c r="K14" s="68" t="str">
        <x:v>MEDIUM</x:v>
      </x:c>
      <x:c r="L14" s="68" t="str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cash</x:v>
      </x:c>
      <x:c r="B15" s="69" t="str"/>
      <x:c r="C15" s="69" t="str"/>
      <x:c r="D15" s="69" t="str"/>
      <x:c r="E15" s="69" t="str"/>
      <x:c r="F15" s="62" t="str">
        <x:v>millones</x:v>
      </x:c>
      <x:c r="G15" s="68" t="str">
        <x:v>millones</x:v>
      </x:c>
      <x:c r="H15" s="68" t="n">
        <x:v>1</x:v>
      </x:c>
      <x:c r="I15" s="68" t="str"/>
      <x:c r="J15" s="68" t="str"/>
      <x:c r="K15" s="68" t="str">
        <x:v>MEDIUM</x:v>
      </x:c>
      <x:c r="L15" s="68" t="str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gross_debt</x:v>
      </x:c>
      <x:c r="B16" s="69" t="str"/>
      <x:c r="C16" s="69" t="str"/>
      <x:c r="D16" s="69" t="str"/>
      <x:c r="E16" s="69" t="str"/>
      <x:c r="F16" s="62" t="str">
        <x:v>millones</x:v>
      </x:c>
      <x:c r="G16" s="68" t="str">
        <x:v>millones</x:v>
      </x:c>
      <x:c r="H16" s="68" t="n">
        <x:v>1</x:v>
      </x:c>
      <x:c r="I16" s="68" t="str"/>
      <x:c r="J16" s="68" t="str"/>
      <x:c r="K16" s="68" t="str">
        <x:v>MEDIUM</x:v>
      </x:c>
      <x:c r="L16" s="68" t="str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equity</x:v>
      </x:c>
      <x:c r="B17" s="69" t="str"/>
      <x:c r="C17" s="69" t="str"/>
      <x:c r="D17" s="69" t="str"/>
      <x:c r="E17" s="69" t="str"/>
      <x:c r="F17" s="62" t="str">
        <x:v>millones</x:v>
      </x:c>
      <x:c r="G17" s="68" t="str">
        <x:v>millones</x:v>
      </x:c>
      <x:c r="H17" s="68" t="n">
        <x:v>1</x:v>
      </x:c>
      <x:c r="I17" s="68" t="str"/>
      <x:c r="J17" s="68" t="str"/>
      <x:c r="K17" s="68" t="str">
        <x:v>MEDIUM</x:v>
      </x:c>
      <x:c r="L17" s="68" t="str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total_assets</x:v>
      </x:c>
      <x:c r="B18" s="69" t="str"/>
      <x:c r="C18" s="69" t="str"/>
      <x:c r="D18" s="69" t="str"/>
      <x:c r="E18" s="69" t="str"/>
      <x:c r="F18" s="62" t="str">
        <x:v>millones</x:v>
      </x:c>
      <x:c r="G18" s="68" t="str">
        <x:v>millones</x:v>
      </x:c>
      <x:c r="H18" s="68" t="n">
        <x:v>1</x:v>
      </x:c>
      <x:c r="I18" s="68" t="str"/>
      <x:c r="J18" s="68" t="str"/>
      <x:c r="K18" s="68" t="str">
        <x:v>MEDIUM</x:v>
      </x:c>
      <x:c r="L18" s="68" t="str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total_liabilities</x:v>
      </x:c>
      <x:c r="B19" s="69" t="str"/>
      <x:c r="C19" s="69" t="str"/>
      <x:c r="D19" s="69" t="str"/>
      <x:c r="E19" s="69" t="str"/>
      <x:c r="F19" s="62" t="str">
        <x:v>millones</x:v>
      </x:c>
      <x:c r="G19" s="68" t="str">
        <x:v>millones</x:v>
      </x:c>
      <x:c r="H19" s="68" t="n">
        <x:v>1</x:v>
      </x:c>
      <x:c r="I19" s="68" t="str"/>
      <x:c r="J19" s="68" t="str"/>
      <x:c r="K19" s="68" t="str">
        <x:v>MEDIUM</x:v>
      </x:c>
      <x:c r="L19" s="68" t="str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dividends</x:v>
      </x:c>
      <x:c r="B20" s="69" t="str"/>
      <x:c r="C20" s="69" t="str"/>
      <x:c r="D20" s="69" t="str"/>
      <x:c r="E20" s="69" t="str"/>
      <x:c r="F20" s="62" t="str">
        <x:v>millones</x:v>
      </x:c>
      <x:c r="G20" s="68" t="str">
        <x:v>millones</x:v>
      </x:c>
      <x:c r="H20" s="68" t="n">
        <x:v>1</x:v>
      </x:c>
      <x:c r="I20" s="68" t="str"/>
      <x:c r="J20" s="68" t="str"/>
      <x:c r="K20" s="68" t="str">
        <x:v>MEDIUM</x:v>
      </x:c>
      <x:c r="L20" s="68" t="str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diluted_shares</x:v>
      </x:c>
      <x:c r="B21" s="69" t="str"/>
      <x:c r="C21" s="69" t="str"/>
      <x:c r="D21" s="69" t="str"/>
      <x:c r="E21" s="69" t="str"/>
      <x:c r="F21" s="62" t="str">
        <x:v>millones</x:v>
      </x:c>
      <x:c r="G21" s="68" t="str">
        <x:v>millones</x:v>
      </x:c>
      <x:c r="H21" s="68" t="n">
        <x:v>1</x:v>
      </x:c>
      <x:c r="I21" s="68" t="str"/>
      <x:c r="J21" s="68" t="str"/>
      <x:c r="K21" s="68" t="str">
        <x:v>MEDIUM</x:v>
      </x:c>
      <x:c r="L21" s="68" t="str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L1"/>
  </x:mergeCells>
  <x:dataValidations count="1">
    <x:dataValidation type="list" sqref="K4:K21">
      <x:formula1>"HIGH,MEDIUM,LOW"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4" hidden="0" customWidth="1"/>
    <x:col min="7" max="7" width="16" hidden="0" customWidth="1"/>
    <x:col min="8" max="8" width="24" hidden="0" customWidth="1"/>
    <x:col min="9" max="9" width="14" hidden="0" customWidth="1"/>
  </x:cols>
  <x:sheetData>
    <x:row r="1" ht="28" customHeight="1">
      <x:c r="A1" s="5" t="str">
        <x:v>NORMALIZACIÓN Y ANÁLISIS HISTÓRICO</x:v>
      </x:c>
      <x:c r="B1" s="5"/>
      <x:c r="C1" s="5"/>
      <x:c r="D1" s="5"/>
      <x:c r="E1" s="5"/>
      <x:c r="F1" s="5"/>
      <x:c r="G1" s="5"/>
      <x:c r="H1" s="5"/>
      <x:c r="I1" s="5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Métrica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Promedio 4A</x:v>
      </x:c>
      <x:c r="G3" s="22" t="str">
        <x:v>CAGR/Tendencia</x:v>
      </x:c>
      <x:c r="H3" s="22" t="str">
        <x:v>Uso</x:v>
      </x:c>
      <x:c r="I3" s="22" t="str">
        <x:v>Estado</x:v>
      </x:c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revenue</x:v>
      </x:c>
      <x:c r="B4" s="74" t="n">
        <x:f>'02_DATOS_RAW'!B5</x:f>
        <x:v>0</x:v>
      </x:c>
      <x:c r="C4" s="74" t="n">
        <x:f>'02_DATOS_RAW'!C5</x:f>
        <x:v>0</x:v>
      </x:c>
      <x:c r="D4" s="74" t="n">
        <x:f>'02_DATOS_RAW'!D5</x:f>
        <x:v>0</x:v>
      </x:c>
      <x:c r="E4" s="74" t="n">
        <x:f>'02_DATOS_RAW'!E5</x:f>
        <x:v>0</x:v>
      </x:c>
      <x:c r="F4" s="75" t="n">
        <x:f>IFERROR(AVERAGE(B4:E4),0)</x:f>
        <x:v>0</x:v>
      </x:c>
      <x:c r="G4" s="75" t="n">
        <x:f>IFERROR((E4/B4)^(1/3)-1,0)</x:f>
        <x:v>0</x:v>
      </x:c>
      <x:c r="H4" s="62" t="str">
        <x:v>Base proyección</x:v>
      </x:c>
      <x:c r="I4" s="62" t="str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revenue_growth</x:v>
      </x:c>
      <x:c r="B5" s="76" t="str"/>
      <x:c r="C5" s="76" t="n">
        <x:f>IFERROR(C4/B4-1,0)</x:f>
        <x:v>0</x:v>
      </x:c>
      <x:c r="D5" s="76" t="n">
        <x:f>IFERROR(D4/C4-1,0)</x:f>
        <x:v>0</x:v>
      </x:c>
      <x:c r="E5" s="76" t="n">
        <x:f>IFERROR(E4/D4-1,0)</x:f>
        <x:v>0</x:v>
      </x:c>
      <x:c r="F5" s="76" t="n">
        <x:f>IFERROR(AVERAGE(B5:E5),0)</x:f>
        <x:v>0</x:v>
      </x:c>
      <x:c r="G5" s="76" t="n">
        <x:f>IFERROR(AVERAGE(C5:E5),0)</x:f>
        <x:v>0</x:v>
      </x:c>
      <x:c r="H5" s="62" t="str">
        <x:v>Driver crecimiento</x:v>
      </x:c>
      <x:c r="I5" s="62" t="str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ebitda</x:v>
      </x:c>
      <x:c r="B6" s="74" t="n">
        <x:f>'02_DATOS_RAW'!B6</x:f>
        <x:v>0</x:v>
      </x:c>
      <x:c r="C6" s="74" t="n">
        <x:f>'02_DATOS_RAW'!C6</x:f>
        <x:v>0</x:v>
      </x:c>
      <x:c r="D6" s="74" t="n">
        <x:f>'02_DATOS_RAW'!D6</x:f>
        <x:v>0</x:v>
      </x:c>
      <x:c r="E6" s="74" t="n">
        <x:f>'02_DATOS_RAW'!E6</x:f>
        <x:v>0</x:v>
      </x:c>
      <x:c r="F6" s="75" t="n">
        <x:f>IFERROR(AVERAGE(B6:E6),0)</x:f>
        <x:v>0</x:v>
      </x:c>
      <x:c r="G6" s="75" t="n">
        <x:f>IFERROR(SLOPE(B6:E6,{1,2,3,4}),0)</x:f>
        <x:v>0</x:v>
      </x:c>
      <x:c r="H6" s="62" t="str">
        <x:v>Rentabilidad</x:v>
      </x:c>
      <x:c r="I6" s="62" t="str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ebitda_margin</x:v>
      </x:c>
      <x:c r="B7" s="76" t="n">
        <x:f>IFERROR(B6/B4,0)</x:f>
        <x:v>0</x:v>
      </x:c>
      <x:c r="C7" s="76" t="n">
        <x:f>IFERROR(C6/C4,0)</x:f>
        <x:v>0</x:v>
      </x:c>
      <x:c r="D7" s="76" t="n">
        <x:f>IFERROR(D6/D4,0)</x:f>
        <x:v>0</x:v>
      </x:c>
      <x:c r="E7" s="76" t="n">
        <x:f>IFERROR(E6/E4,0)</x:f>
        <x:v>0</x:v>
      </x:c>
      <x:c r="F7" s="76" t="n">
        <x:f>IFERROR(AVERAGE(B7:E7),0)</x:f>
        <x:v>0</x:v>
      </x:c>
      <x:c r="G7" s="76" t="n">
        <x:f>IFERROR(SLOPE(B7:E7,{1,2,3,4}),0)</x:f>
        <x:v>0</x:v>
      </x:c>
      <x:c r="H7" s="62" t="str">
        <x:v>Convergencia margen</x:v>
      </x:c>
      <x:c r="I7" s="62" t="str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ebit</x:v>
      </x:c>
      <x:c r="B8" s="74" t="n">
        <x:f>'02_DATOS_RAW'!B7</x:f>
        <x:v>0</x:v>
      </x:c>
      <x:c r="C8" s="74" t="n">
        <x:f>'02_DATOS_RAW'!C7</x:f>
        <x:v>0</x:v>
      </x:c>
      <x:c r="D8" s="74" t="n">
        <x:f>'02_DATOS_RAW'!D7</x:f>
        <x:v>0</x:v>
      </x:c>
      <x:c r="E8" s="74" t="n">
        <x:f>'02_DATOS_RAW'!E7</x:f>
        <x:v>0</x:v>
      </x:c>
      <x:c r="F8" s="75" t="n">
        <x:f>IFERROR(AVERAGE(B8:E8),0)</x:f>
        <x:v>0</x:v>
      </x:c>
      <x:c r="G8" s="75" t="n">
        <x:f>IFERROR(SLOPE(B8:E8,{1,2,3,4}),0)</x:f>
        <x:v>0</x:v>
      </x:c>
      <x:c r="H8" s="62" t="str">
        <x:v>Rentabilidad</x:v>
      </x:c>
      <x:c r="I8" s="62" t="str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ebit_margin</x:v>
      </x:c>
      <x:c r="B9" s="76" t="n">
        <x:f>IFERROR(B8/B4,0)</x:f>
        <x:v>0</x:v>
      </x:c>
      <x:c r="C9" s="76" t="n">
        <x:f>IFERROR(C8/C4,0)</x:f>
        <x:v>0</x:v>
      </x:c>
      <x:c r="D9" s="76" t="n">
        <x:f>IFERROR(D8/D4,0)</x:f>
        <x:v>0</x:v>
      </x:c>
      <x:c r="E9" s="76" t="n">
        <x:f>IFERROR(E8/E4,0)</x:f>
        <x:v>0</x:v>
      </x:c>
      <x:c r="F9" s="76" t="n">
        <x:f>IFERROR(AVERAGE(B9:E9),0)</x:f>
        <x:v>0</x:v>
      </x:c>
      <x:c r="G9" s="76" t="n">
        <x:f>IFERROR(SLOPE(B9:E9,{1,2,3,4}),0)</x:f>
        <x:v>0</x:v>
      </x:c>
      <x:c r="H9" s="62" t="str">
        <x:v>Convergencia margen</x:v>
      </x:c>
      <x:c r="I9" s="62" t="str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net_income</x:v>
      </x:c>
      <x:c r="B10" s="77" t="n">
        <x:f>'02_DATOS_RAW'!B8</x:f>
        <x:v>0</x:v>
      </x:c>
      <x:c r="C10" s="77" t="n">
        <x:f>'02_DATOS_RAW'!C8</x:f>
        <x:v>0</x:v>
      </x:c>
      <x:c r="D10" s="77" t="n">
        <x:f>'02_DATOS_RAW'!D8</x:f>
        <x:v>0</x:v>
      </x:c>
      <x:c r="E10" s="77" t="n">
        <x:f>'02_DATOS_RAW'!E8</x:f>
        <x:v>0</x:v>
      </x:c>
      <x:c r="F10" s="76" t="n">
        <x:f>IFERROR(AVERAGE(B10:E10),0)</x:f>
        <x:v>0</x:v>
      </x:c>
      <x:c r="G10" s="76" t="n">
        <x:f>IFERROR(SLOPE(B10:E10,{1,2,3,4}),0)</x:f>
        <x:v>0</x:v>
      </x:c>
      <x:c r="H10" s="62" t="str">
        <x:v>Control</x:v>
      </x:c>
      <x:c r="I10" s="62" t="str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effective_tax_rate</x:v>
      </x:c>
      <x:c r="B11" s="76" t="n">
        <x:f>IFERROR('02_DATOS_RAW'!B9/ABS(B8),0)</x:f>
        <x:v>0</x:v>
      </x:c>
      <x:c r="C11" s="76" t="n">
        <x:f>IFERROR('02_DATOS_RAW'!C9/ABS(C8),0)</x:f>
        <x:v>0</x:v>
      </x:c>
      <x:c r="D11" s="76" t="n">
        <x:f>IFERROR('02_DATOS_RAW'!D9/ABS(D8),0)</x:f>
        <x:v>0</x:v>
      </x:c>
      <x:c r="E11" s="76" t="n">
        <x:f>IFERROR('02_DATOS_RAW'!E9/ABS(E8),0)</x:f>
        <x:v>0</x:v>
      </x:c>
      <x:c r="F11" s="76" t="n">
        <x:f>IFERROR(AVERAGE(B11:E11),0)</x:f>
        <x:v>0</x:v>
      </x:c>
      <x:c r="G11" s="76" t="n">
        <x:f>IFERROR(SLOPE(B11:E11,{1,2,3,4}),0)</x:f>
        <x:v>0</x:v>
      </x:c>
      <x:c r="H11" s="62" t="str">
        <x:v>Fiscal</x:v>
      </x:c>
      <x:c r="I11" s="62" t="str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da_to_revenue</x:v>
      </x:c>
      <x:c r="B12" s="76" t="n">
        <x:f>IFERROR('02_DATOS_RAW'!B10/B4,0)</x:f>
        <x:v>0</x:v>
      </x:c>
      <x:c r="C12" s="76" t="n">
        <x:f>IFERROR('02_DATOS_RAW'!C10/C4,0)</x:f>
        <x:v>0</x:v>
      </x:c>
      <x:c r="D12" s="76" t="n">
        <x:f>IFERROR('02_DATOS_RAW'!D10/D4,0)</x:f>
        <x:v>0</x:v>
      </x:c>
      <x:c r="E12" s="76" t="n">
        <x:f>IFERROR('02_DATOS_RAW'!E10/E4,0)</x:f>
        <x:v>0</x:v>
      </x:c>
      <x:c r="F12" s="76" t="n">
        <x:f>IFERROR(AVERAGE(B12:E12),0)</x:f>
        <x:v>0</x:v>
      </x:c>
      <x:c r="G12" s="76" t="n">
        <x:f>IFERROR(SLOPE(B12:E12,{1,2,3,4}),0)</x:f>
        <x:v>0</x:v>
      </x:c>
      <x:c r="H12" s="62" t="str">
        <x:v>D&amp;A</x:v>
      </x:c>
      <x:c r="I12" s="62" t="str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capex_to_revenue</x:v>
      </x:c>
      <x:c r="B13" s="76" t="n">
        <x:f>IFERROR('02_DATOS_RAW'!B11/B4,0)</x:f>
        <x:v>0</x:v>
      </x:c>
      <x:c r="C13" s="76" t="n">
        <x:f>IFERROR('02_DATOS_RAW'!C11/C4,0)</x:f>
        <x:v>0</x:v>
      </x:c>
      <x:c r="D13" s="76" t="n">
        <x:f>IFERROR('02_DATOS_RAW'!D11/D4,0)</x:f>
        <x:v>0</x:v>
      </x:c>
      <x:c r="E13" s="76" t="n">
        <x:f>IFERROR('02_DATOS_RAW'!E11/E4,0)</x:f>
        <x:v>0</x:v>
      </x:c>
      <x:c r="F13" s="76" t="n">
        <x:f>IFERROR(AVERAGE(B13:E13),0)</x:f>
        <x:v>0</x:v>
      </x:c>
      <x:c r="G13" s="76" t="n">
        <x:f>IFERROR(SLOPE(B13:E13,{1,2,3,4}),0)</x:f>
        <x:v>0</x:v>
      </x:c>
      <x:c r="H13" s="62" t="str">
        <x:v>CAPEX</x:v>
      </x:c>
      <x:c r="I13" s="62" t="str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change_nwc_to_revenue</x:v>
      </x:c>
      <x:c r="B14" s="76" t="n">
        <x:f>IFERROR('02_DATOS_RAW'!B12/B4,0)</x:f>
        <x:v>0</x:v>
      </x:c>
      <x:c r="C14" s="76" t="n">
        <x:f>IFERROR('02_DATOS_RAW'!C12/C4,0)</x:f>
        <x:v>0</x:v>
      </x:c>
      <x:c r="D14" s="76" t="n">
        <x:f>IFERROR('02_DATOS_RAW'!D12/D4,0)</x:f>
        <x:v>0</x:v>
      </x:c>
      <x:c r="E14" s="76" t="n">
        <x:f>IFERROR('02_DATOS_RAW'!E12/E4,0)</x:f>
        <x:v>0</x:v>
      </x:c>
      <x:c r="F14" s="76" t="n">
        <x:f>IFERROR(AVERAGE(B14:E14),0)</x:f>
        <x:v>0</x:v>
      </x:c>
      <x:c r="G14" s="76" t="n">
        <x:f>IFERROR(SLOPE(B14:E14,{1,2,3,4}),0)</x:f>
        <x:v>0</x:v>
      </x:c>
      <x:c r="H14" s="62" t="str">
        <x:v>Circulante</x:v>
      </x:c>
      <x:c r="I14" s="62" t="str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fcf_to_ebitda</x:v>
      </x:c>
      <x:c r="B15" s="76" t="n">
        <x:f>IFERROR('02_DATOS_RAW'!B14/B6,0)</x:f>
        <x:v>0</x:v>
      </x:c>
      <x:c r="C15" s="76" t="n">
        <x:f>IFERROR('02_DATOS_RAW'!C14/C6,0)</x:f>
        <x:v>0</x:v>
      </x:c>
      <x:c r="D15" s="76" t="n">
        <x:f>IFERROR('02_DATOS_RAW'!D14/D6,0)</x:f>
        <x:v>0</x:v>
      </x:c>
      <x:c r="E15" s="76" t="n">
        <x:f>IFERROR('02_DATOS_RAW'!E14/E6,0)</x:f>
        <x:v>0</x:v>
      </x:c>
      <x:c r="F15" s="76" t="n">
        <x:f>IFERROR(AVERAGE(B15:E15),0)</x:f>
        <x:v>0</x:v>
      </x:c>
      <x:c r="G15" s="76" t="n">
        <x:f>IFERROR(SLOPE(B15:E15,{1,2,3,4}),0)</x:f>
        <x:v>0</x:v>
      </x:c>
      <x:c r="H15" s="62" t="str">
        <x:v>Caja</x:v>
      </x:c>
      <x:c r="I15" s="62" t="str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roe</x:v>
      </x:c>
      <x:c r="B16" s="76" t="n">
        <x:f>IFERROR(B10/'02_DATOS_RAW'!B17,0)</x:f>
        <x:v>0</x:v>
      </x:c>
      <x:c r="C16" s="76" t="n">
        <x:f>IFERROR(C10/'02_DATOS_RAW'!C17,0)</x:f>
        <x:v>0</x:v>
      </x:c>
      <x:c r="D16" s="76" t="n">
        <x:f>IFERROR(D10/'02_DATOS_RAW'!D17,0)</x:f>
        <x:v>0</x:v>
      </x:c>
      <x:c r="E16" s="76" t="n">
        <x:f>IFERROR(E10/'02_DATOS_RAW'!E17,0)</x:f>
        <x:v>0</x:v>
      </x:c>
      <x:c r="F16" s="76" t="n">
        <x:f>IFERROR(AVERAGE(B16:E16),0)</x:f>
        <x:v>0</x:v>
      </x:c>
      <x:c r="G16" s="76" t="n">
        <x:f>IFERROR(SLOPE(B16:E16,{1,2,3,4}),0)</x:f>
        <x:v>0</x:v>
      </x:c>
      <x:c r="H16" s="62" t="str">
        <x:v>Familia financiera</x:v>
      </x:c>
      <x:c r="I16" s="62" t="str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net_debt</x:v>
      </x:c>
      <x:c r="B17" s="75" t="n">
        <x:f>'02_DATOS_RAW'!B16-'02_DATOS_RAW'!B15</x:f>
        <x:v>0</x:v>
      </x:c>
      <x:c r="C17" s="75" t="n">
        <x:f>'02_DATOS_RAW'!C16-'02_DATOS_RAW'!C15</x:f>
        <x:v>0</x:v>
      </x:c>
      <x:c r="D17" s="75" t="n">
        <x:f>'02_DATOS_RAW'!D16-'02_DATOS_RAW'!D15</x:f>
        <x:v>0</x:v>
      </x:c>
      <x:c r="E17" s="75" t="n">
        <x:f>'02_DATOS_RAW'!E16-'02_DATOS_RAW'!E15</x:f>
        <x:v>0</x:v>
      </x:c>
      <x:c r="F17" s="75" t="n">
        <x:f>IFERROR(AVERAGE(B17:E17),0)</x:f>
        <x:v>0</x:v>
      </x:c>
      <x:c r="G17" s="75" t="n">
        <x:f>IFERROR(SLOPE(B17:E17,{1,2,3,4}),0)</x:f>
        <x:v>0</x:v>
      </x:c>
      <x:c r="H17" s="62" t="str">
        <x:v>EV</x:v>
      </x:c>
      <x:c r="I17" s="62" t="str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net_debt_to_ebitda</x:v>
      </x:c>
      <x:c r="B18" s="78" t="n">
        <x:f>IFERROR(B17/B6,0)</x:f>
        <x:v>0</x:v>
      </x:c>
      <x:c r="C18" s="78" t="n">
        <x:f>IFERROR(C17/C6,0)</x:f>
        <x:v>0</x:v>
      </x:c>
      <x:c r="D18" s="78" t="n">
        <x:f>IFERROR(D17/D6,0)</x:f>
        <x:v>0</x:v>
      </x:c>
      <x:c r="E18" s="78" t="n">
        <x:f>IFERROR(E17/E6,0)</x:f>
        <x:v>0</x:v>
      </x:c>
      <x:c r="F18" s="78" t="n">
        <x:f>IFERROR(AVERAGE(B18:E18),0)</x:f>
        <x:v>0</x:v>
      </x:c>
      <x:c r="G18" s="78" t="n">
        <x:f>IFERROR(SLOPE(B18:E18,{1,2,3,4}),0)</x:f>
        <x:v>0</x:v>
      </x:c>
      <x:c r="H18" s="62" t="str">
        <x:v>Riesgo balance</x:v>
      </x:c>
      <x:c r="I18" s="62" t="str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6" hidden="0" customWidth="1"/>
    <x:col min="7" max="7" width="28" hidden="0" customWidth="1"/>
    <x:col min="8" max="8" width="20" hidden="0" customWidth="1"/>
    <x:col min="9" max="9" width="14" hidden="0" customWidth="1"/>
    <x:col min="10" max="10" width="12" hidden="0" customWidth="1"/>
    <x:col min="11" max="11" width="20" hidden="0" customWidth="1"/>
  </x:cols>
  <x:sheetData>
    <x:row r="1" ht="28" customHeight="1">
      <x:c r="A1" s="5" t="str">
        <x:v>MÉTRICAS SECTORIALES — FARMA / BIOTECNOLOGÍA / MEDTECH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metric_code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unit</x:v>
      </x:c>
      <x:c r="G3" s="22" t="str">
        <x:v>source</x:v>
      </x:c>
      <x:c r="H3" s="22" t="str">
        <x:v>page_url</x:v>
      </x:c>
      <x:c r="I3" s="22" t="str">
        <x:v>confidence</x:v>
      </x:c>
      <x:c r="J3" s="22" t="str">
        <x:v>required</x:v>
      </x:c>
      <x:c r="K3" s="22" t="str">
        <x:v>driver_target</x:v>
      </x:c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product_revenue</x:v>
      </x:c>
      <x:c r="B4" s="68" t="str"/>
      <x:c r="C4" s="68" t="str"/>
      <x:c r="D4" s="68" t="str"/>
      <x:c r="E4" s="68" t="str"/>
      <x:c r="F4" s="68" t="str">
        <x:v>según métrica</x:v>
      </x:c>
      <x:c r="G4" s="68" t="str"/>
      <x:c r="H4" s="68" t="str"/>
      <x:c r="I4" s="68" t="str">
        <x:v>MEDIUM</x:v>
      </x:c>
      <x:c r="J4" s="68" t="str">
        <x:v>NO</x:v>
      </x:c>
      <x:c r="K4" s="68" t="str">
        <x:v>INFORMATIVO</x:v>
      </x:c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patent_expiry_year</x:v>
      </x:c>
      <x:c r="B5" s="68" t="str"/>
      <x:c r="C5" s="68" t="str"/>
      <x:c r="D5" s="68" t="str"/>
      <x:c r="E5" s="68" t="str"/>
      <x:c r="F5" s="68" t="str">
        <x:v>según métrica</x:v>
      </x:c>
      <x:c r="G5" s="68" t="str"/>
      <x:c r="H5" s="68" t="str"/>
      <x:c r="I5" s="68" t="str">
        <x:v>MEDIUM</x:v>
      </x:c>
      <x:c r="J5" s="68" t="str">
        <x:v>NO</x:v>
      </x:c>
      <x:c r="K5" s="68" t="str">
        <x:v>INFORMATIVO</x:v>
      </x:c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pipeline_assets</x:v>
      </x:c>
      <x:c r="B6" s="68" t="str"/>
      <x:c r="C6" s="68" t="str"/>
      <x:c r="D6" s="68" t="str"/>
      <x:c r="E6" s="68" t="str"/>
      <x:c r="F6" s="68" t="str">
        <x:v>según métrica</x:v>
      </x:c>
      <x:c r="G6" s="68" t="str"/>
      <x:c r="H6" s="68" t="str"/>
      <x:c r="I6" s="68" t="str">
        <x:v>MEDIUM</x:v>
      </x:c>
      <x:c r="J6" s="68" t="str">
        <x:v>NO</x:v>
      </x:c>
      <x:c r="K6" s="68" t="str">
        <x:v>INFORMATIVO</x:v>
      </x:c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probability_of_success</x:v>
      </x:c>
      <x:c r="B7" s="68" t="str"/>
      <x:c r="C7" s="68" t="str"/>
      <x:c r="D7" s="68" t="str"/>
      <x:c r="E7" s="68" t="str"/>
      <x:c r="F7" s="68" t="str">
        <x:v>según métrica</x:v>
      </x:c>
      <x:c r="G7" s="68" t="str"/>
      <x:c r="H7" s="68" t="str"/>
      <x:c r="I7" s="68" t="str">
        <x:v>MEDIUM</x:v>
      </x:c>
      <x:c r="J7" s="68" t="str">
        <x:v>NO</x:v>
      </x:c>
      <x:c r="K7" s="68" t="str">
        <x:v>INFORMATIVO</x:v>
      </x:c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rd_to_revenue</x:v>
      </x:c>
      <x:c r="B8" s="68" t="str"/>
      <x:c r="C8" s="68" t="str"/>
      <x:c r="D8" s="68" t="str"/>
      <x:c r="E8" s="68" t="str"/>
      <x:c r="F8" s="68" t="str">
        <x:v>según métrica</x:v>
      </x:c>
      <x:c r="G8" s="68" t="str"/>
      <x:c r="H8" s="68" t="str"/>
      <x:c r="I8" s="68" t="str">
        <x:v>MEDIUM</x:v>
      </x:c>
      <x:c r="J8" s="68" t="str">
        <x:v>NO</x:v>
      </x:c>
      <x:c r="K8" s="68" t="str">
        <x:v>INFORMATIVO</x:v>
      </x:c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product_concentration</x:v>
      </x:c>
      <x:c r="B9" s="68" t="str"/>
      <x:c r="C9" s="68" t="str"/>
      <x:c r="D9" s="68" t="str"/>
      <x:c r="E9" s="68" t="str"/>
      <x:c r="F9" s="68" t="str">
        <x:v>según métrica</x:v>
      </x:c>
      <x:c r="G9" s="68" t="str"/>
      <x:c r="H9" s="68" t="str"/>
      <x:c r="I9" s="68" t="str">
        <x:v>MEDIUM</x:v>
      </x:c>
      <x:c r="J9" s="68" t="str">
        <x:v>NO</x:v>
      </x:c>
      <x:c r="K9" s="68" t="str">
        <x:v>INFORMATIVO</x:v>
      </x:c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K1"/>
  </x:mergeCells>
  <x:dataValidations count="3">
    <x:dataValidation type="list" sqref="I4:I9">
      <x:formula1>"HIGH,MEDIUM,LOW"</x:formula1>
    </x:dataValidation>
    <x:dataValidation type="list" sqref="J4:J9">
      <x:formula1>"YES,NO"</x:formula1>
    </x:dataValidation>
    <x:dataValidation type="list" sqref="K4:K9">
      <x:formula1>"INFORMATIVO,REVENUE_GROWTH,EBIT_MARGIN,CAPEX_RATIO,WACC,TERMINAL_GROWTH"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18" hidden="0" customWidth="1"/>
    <x:col min="12" max="12" width="16" hidden="0" customWidth="1"/>
    <x:col min="13" max="13" width="16" hidden="0" customWidth="1"/>
    <x:col min="14" max="14" width="16" hidden="0" customWidth="1"/>
    <x:col min="15" max="15" width="12" hidden="0" customWidth="1"/>
    <x:col min="16" max="16" width="16" hidden="0" customWidth="1"/>
    <x:col min="17" max="17" width="38" hidden="0" customWidth="1"/>
    <x:col min="18" max="18" width="14" hidden="0" customWidth="1"/>
  </x:cols>
  <x:sheetData>
    <x:row r="1" ht="28" customHeight="1">
      <x:c r="A1" s="5" t="str">
        <x:v>AJUSTES DE NOTICIAS — ESTRUCTURA FASE 2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signal_id</x:v>
      </x:c>
      <x:c r="B3" s="22" t="str">
        <x:v>variable_code</x:v>
      </x:c>
      <x:c r="C3" s="22" t="str">
        <x:v>scenario</x:v>
      </x:c>
      <x:c r="D3" s="22" t="str">
        <x:v>forecast_year</x:v>
      </x:c>
      <x:c r="E3" s="22" t="str">
        <x:v>proposed_adjustment</x:v>
      </x:c>
      <x:c r="F3" s="22" t="str">
        <x:v>lower_limit</x:v>
      </x:c>
      <x:c r="G3" s="22" t="str">
        <x:v>upper_limit</x:v>
      </x:c>
      <x:c r="H3" s="22" t="str">
        <x:v>confidence</x:v>
      </x:c>
      <x:c r="I3" s="22" t="str">
        <x:v>materiality</x:v>
      </x:c>
      <x:c r="J3" s="22" t="str">
        <x:v>independent_sources</x:v>
      </x:c>
      <x:c r="K3" s="22" t="str">
        <x:v>primary_official_source</x:v>
      </x:c>
      <x:c r="L3" s="22" t="str">
        <x:v>publication_date</x:v>
      </x:c>
      <x:c r="M3" s="22" t="str">
        <x:v>effective_date</x:v>
      </x:c>
      <x:c r="N3" s="22" t="str">
        <x:v>expiry_date</x:v>
      </x:c>
      <x:c r="O3" s="22" t="str">
        <x:v>approved</x:v>
      </x:c>
      <x:c r="P3" s="22" t="str">
        <x:v>effective_adjustment</x:v>
      </x:c>
      <x:c r="Q3" s="22" t="str">
        <x:v>reason</x:v>
      </x:c>
      <x:c r="R3" s="22" t="str">
        <x:v>model_version</x:v>
      </x:c>
      <x:c r="S3" s="62"/>
      <x:c r="T3" s="62"/>
      <x:c r="U3" s="62"/>
      <x:c r="V3" s="62"/>
      <x:c r="W3" s="62"/>
      <x:c r="X3" s="62"/>
      <x:c r="Y3" s="62"/>
      <x:c r="Z3" s="62"/>
    </x:row>
    <x:row r="4">
      <x:c r="A4" s="68" t="str"/>
      <x:c r="B4" s="68" t="str"/>
      <x:c r="C4" s="68" t="str">
        <x:v>BASE</x:v>
      </x:c>
      <x:c r="D4" s="68" t="str"/>
      <x:c r="E4" s="84" t="n">
        <x:v>0</x:v>
      </x:c>
      <x:c r="F4" s="84" t="n">
        <x:v>-0.015</x:v>
      </x:c>
      <x:c r="G4" s="84" t="n">
        <x:v>0.015</x:v>
      </x:c>
      <x:c r="H4" s="84" t="n">
        <x:v>0</x:v>
      </x:c>
      <x:c r="I4" s="84" t="n">
        <x:v>0</x:v>
      </x:c>
      <x:c r="J4" s="68" t="n">
        <x:v>0</x:v>
      </x:c>
      <x:c r="K4" s="68" t="str">
        <x:v>NO</x:v>
      </x:c>
      <x:c r="L4" s="68" t="str"/>
      <x:c r="M4" s="68" t="str"/>
      <x:c r="N4" s="68" t="str"/>
      <x:c r="O4" s="68" t="str">
        <x:v>NO</x:v>
      </x:c>
      <x:c r="P4" s="84" t="n">
        <x:f>IF(AND(O4="YES",OR(K4="YES",J4&gt;=2),H4&gt;=0.70,I4&gt;=0.50,OR(N4="",N4&gt;=TODAY()),E4&gt;=F4,E4&lt;=G4),E4,0)</x:f>
        <x:v>0</x:v>
      </x:c>
      <x:c r="Q4" s="68" t="str"/>
      <x:c r="R4" s="68" t="str">
        <x:v>1.2.0</x:v>
      </x:c>
      <x:c r="S4" s="62"/>
      <x:c r="T4" s="62"/>
      <x:c r="U4" s="62"/>
      <x:c r="V4" s="62"/>
      <x:c r="W4" s="62"/>
      <x:c r="X4" s="62"/>
      <x:c r="Y4" s="62"/>
      <x:c r="Z4" s="62"/>
    </x:row>
    <x:row r="5">
      <x:c r="A5" s="68" t="str"/>
      <x:c r="B5" s="68" t="str"/>
      <x:c r="C5" s="68" t="str">
        <x:v>BASE</x:v>
      </x:c>
      <x:c r="D5" s="68" t="str"/>
      <x:c r="E5" s="84" t="n">
        <x:v>0</x:v>
      </x:c>
      <x:c r="F5" s="84" t="n">
        <x:v>-0.015</x:v>
      </x:c>
      <x:c r="G5" s="84" t="n">
        <x:v>0.015</x:v>
      </x:c>
      <x:c r="H5" s="84" t="n">
        <x:v>0</x:v>
      </x:c>
      <x:c r="I5" s="84" t="n">
        <x:v>0</x:v>
      </x:c>
      <x:c r="J5" s="68" t="n">
        <x:v>0</x:v>
      </x:c>
      <x:c r="K5" s="68" t="str">
        <x:v>NO</x:v>
      </x:c>
      <x:c r="L5" s="68" t="str"/>
      <x:c r="M5" s="68" t="str"/>
      <x:c r="N5" s="68" t="str"/>
      <x:c r="O5" s="68" t="str">
        <x:v>NO</x:v>
      </x:c>
      <x:c r="P5" s="84" t="n">
        <x:f>IF(AND(O5="YES",OR(K5="YES",J5&gt;=2),H5&gt;=0.70,I5&gt;=0.50,OR(N5="",N5&gt;=TODAY()),E5&gt;=F5,E5&lt;=G5),E5,0)</x:f>
        <x:v>0</x:v>
      </x:c>
      <x:c r="Q5" s="68" t="str"/>
      <x:c r="R5" s="68" t="str">
        <x:v>1.2.0</x:v>
      </x:c>
      <x:c r="S5" s="62"/>
      <x:c r="T5" s="62"/>
      <x:c r="U5" s="62"/>
      <x:c r="V5" s="62"/>
      <x:c r="W5" s="62"/>
      <x:c r="X5" s="62"/>
      <x:c r="Y5" s="62"/>
      <x:c r="Z5" s="62"/>
    </x:row>
    <x:row r="6">
      <x:c r="A6" s="68" t="str"/>
      <x:c r="B6" s="68" t="str"/>
      <x:c r="C6" s="68" t="str">
        <x:v>BASE</x:v>
      </x:c>
      <x:c r="D6" s="68" t="str"/>
      <x:c r="E6" s="84" t="n">
        <x:v>0</x:v>
      </x:c>
      <x:c r="F6" s="84" t="n">
        <x:v>-0.015</x:v>
      </x:c>
      <x:c r="G6" s="84" t="n">
        <x:v>0.015</x:v>
      </x:c>
      <x:c r="H6" s="84" t="n">
        <x:v>0</x:v>
      </x:c>
      <x:c r="I6" s="84" t="n">
        <x:v>0</x:v>
      </x:c>
      <x:c r="J6" s="68" t="n">
        <x:v>0</x:v>
      </x:c>
      <x:c r="K6" s="68" t="str">
        <x:v>NO</x:v>
      </x:c>
      <x:c r="L6" s="68" t="str"/>
      <x:c r="M6" s="68" t="str"/>
      <x:c r="N6" s="68" t="str"/>
      <x:c r="O6" s="68" t="str">
        <x:v>NO</x:v>
      </x:c>
      <x:c r="P6" s="84" t="n">
        <x:f>IF(AND(O6="YES",OR(K6="YES",J6&gt;=2),H6&gt;=0.70,I6&gt;=0.50,OR(N6="",N6&gt;=TODAY()),E6&gt;=F6,E6&lt;=G6),E6,0)</x:f>
        <x:v>0</x:v>
      </x:c>
      <x:c r="Q6" s="68" t="str"/>
      <x:c r="R6" s="68" t="str">
        <x:v>1.2.0</x:v>
      </x:c>
      <x:c r="S6" s="62"/>
      <x:c r="T6" s="62"/>
      <x:c r="U6" s="62"/>
      <x:c r="V6" s="62"/>
      <x:c r="W6" s="62"/>
      <x:c r="X6" s="62"/>
      <x:c r="Y6" s="62"/>
      <x:c r="Z6" s="62"/>
    </x:row>
    <x:row r="7">
      <x:c r="A7" s="68" t="str"/>
      <x:c r="B7" s="68" t="str"/>
      <x:c r="C7" s="68" t="str">
        <x:v>BASE</x:v>
      </x:c>
      <x:c r="D7" s="68" t="str"/>
      <x:c r="E7" s="84" t="n">
        <x:v>0</x:v>
      </x:c>
      <x:c r="F7" s="84" t="n">
        <x:v>-0.015</x:v>
      </x:c>
      <x:c r="G7" s="84" t="n">
        <x:v>0.015</x:v>
      </x:c>
      <x:c r="H7" s="84" t="n">
        <x:v>0</x:v>
      </x:c>
      <x:c r="I7" s="84" t="n">
        <x:v>0</x:v>
      </x:c>
      <x:c r="J7" s="68" t="n">
        <x:v>0</x:v>
      </x:c>
      <x:c r="K7" s="68" t="str">
        <x:v>NO</x:v>
      </x:c>
      <x:c r="L7" s="68" t="str"/>
      <x:c r="M7" s="68" t="str"/>
      <x:c r="N7" s="68" t="str"/>
      <x:c r="O7" s="68" t="str">
        <x:v>NO</x:v>
      </x:c>
      <x:c r="P7" s="84" t="n">
        <x:f>IF(AND(O7="YES",OR(K7="YES",J7&gt;=2),H7&gt;=0.70,I7&gt;=0.50,OR(N7="",N7&gt;=TODAY()),E7&gt;=F7,E7&lt;=G7),E7,0)</x:f>
        <x:v>0</x:v>
      </x:c>
      <x:c r="Q7" s="68" t="str"/>
      <x:c r="R7" s="68" t="str">
        <x:v>1.2.0</x:v>
      </x:c>
      <x:c r="S7" s="62"/>
      <x:c r="T7" s="62"/>
      <x:c r="U7" s="62"/>
      <x:c r="V7" s="62"/>
      <x:c r="W7" s="62"/>
      <x:c r="X7" s="62"/>
      <x:c r="Y7" s="62"/>
      <x:c r="Z7" s="62"/>
    </x:row>
    <x:row r="8">
      <x:c r="A8" s="68" t="str"/>
      <x:c r="B8" s="68" t="str"/>
      <x:c r="C8" s="68" t="str">
        <x:v>BASE</x:v>
      </x:c>
      <x:c r="D8" s="68" t="str"/>
      <x:c r="E8" s="84" t="n">
        <x:v>0</x:v>
      </x:c>
      <x:c r="F8" s="84" t="n">
        <x:v>-0.015</x:v>
      </x:c>
      <x:c r="G8" s="84" t="n">
        <x:v>0.015</x:v>
      </x:c>
      <x:c r="H8" s="84" t="n">
        <x:v>0</x:v>
      </x:c>
      <x:c r="I8" s="84" t="n">
        <x:v>0</x:v>
      </x:c>
      <x:c r="J8" s="68" t="n">
        <x:v>0</x:v>
      </x:c>
      <x:c r="K8" s="68" t="str">
        <x:v>NO</x:v>
      </x:c>
      <x:c r="L8" s="68" t="str"/>
      <x:c r="M8" s="68" t="str"/>
      <x:c r="N8" s="68" t="str"/>
      <x:c r="O8" s="68" t="str">
        <x:v>NO</x:v>
      </x:c>
      <x:c r="P8" s="84" t="n">
        <x:f>IF(AND(O8="YES",OR(K8="YES",J8&gt;=2),H8&gt;=0.70,I8&gt;=0.50,OR(N8="",N8&gt;=TODAY()),E8&gt;=F8,E8&lt;=G8),E8,0)</x:f>
        <x:v>0</x:v>
      </x:c>
      <x:c r="Q8" s="68" t="str"/>
      <x:c r="R8" s="68" t="str">
        <x:v>1.2.0</x:v>
      </x:c>
      <x:c r="S8" s="62"/>
      <x:c r="T8" s="62"/>
      <x:c r="U8" s="62"/>
      <x:c r="V8" s="62"/>
      <x:c r="W8" s="62"/>
      <x:c r="X8" s="62"/>
      <x:c r="Y8" s="62"/>
      <x:c r="Z8" s="62"/>
    </x:row>
    <x:row r="9">
      <x:c r="A9" s="68" t="str"/>
      <x:c r="B9" s="68" t="str"/>
      <x:c r="C9" s="68" t="str">
        <x:v>BASE</x:v>
      </x:c>
      <x:c r="D9" s="68" t="str"/>
      <x:c r="E9" s="84" t="n">
        <x:v>0</x:v>
      </x:c>
      <x:c r="F9" s="84" t="n">
        <x:v>-0.015</x:v>
      </x:c>
      <x:c r="G9" s="84" t="n">
        <x:v>0.015</x:v>
      </x:c>
      <x:c r="H9" s="84" t="n">
        <x:v>0</x:v>
      </x:c>
      <x:c r="I9" s="84" t="n">
        <x:v>0</x:v>
      </x:c>
      <x:c r="J9" s="68" t="n">
        <x:v>0</x:v>
      </x:c>
      <x:c r="K9" s="68" t="str">
        <x:v>NO</x:v>
      </x:c>
      <x:c r="L9" s="68" t="str"/>
      <x:c r="M9" s="68" t="str"/>
      <x:c r="N9" s="68" t="str"/>
      <x:c r="O9" s="68" t="str">
        <x:v>NO</x:v>
      </x:c>
      <x:c r="P9" s="84" t="n">
        <x:f>IF(AND(O9="YES",OR(K9="YES",J9&gt;=2),H9&gt;=0.70,I9&gt;=0.50,OR(N9="",N9&gt;=TODAY()),E9&gt;=F9,E9&lt;=G9),E9,0)</x:f>
        <x:v>0</x:v>
      </x:c>
      <x:c r="Q9" s="68" t="str"/>
      <x:c r="R9" s="68" t="str">
        <x:v>1.2.0</x:v>
      </x:c>
      <x:c r="S9" s="62"/>
      <x:c r="T9" s="62"/>
      <x:c r="U9" s="62"/>
      <x:c r="V9" s="62"/>
      <x:c r="W9" s="62"/>
      <x:c r="X9" s="62"/>
      <x:c r="Y9" s="62"/>
      <x:c r="Z9" s="62"/>
    </x:row>
    <x:row r="10">
      <x:c r="A10" s="68" t="str"/>
      <x:c r="B10" s="68" t="str"/>
      <x:c r="C10" s="68" t="str">
        <x:v>BASE</x:v>
      </x:c>
      <x:c r="D10" s="68" t="str"/>
      <x:c r="E10" s="84" t="n">
        <x:v>0</x:v>
      </x:c>
      <x:c r="F10" s="84" t="n">
        <x:v>-0.015</x:v>
      </x:c>
      <x:c r="G10" s="84" t="n">
        <x:v>0.015</x:v>
      </x:c>
      <x:c r="H10" s="84" t="n">
        <x:v>0</x:v>
      </x:c>
      <x:c r="I10" s="84" t="n">
        <x:v>0</x:v>
      </x:c>
      <x:c r="J10" s="68" t="n">
        <x:v>0</x:v>
      </x:c>
      <x:c r="K10" s="68" t="str">
        <x:v>NO</x:v>
      </x:c>
      <x:c r="L10" s="68" t="str"/>
      <x:c r="M10" s="68" t="str"/>
      <x:c r="N10" s="68" t="str"/>
      <x:c r="O10" s="68" t="str">
        <x:v>NO</x:v>
      </x:c>
      <x:c r="P10" s="84" t="n">
        <x:f>IF(AND(O10="YES",OR(K10="YES",J10&gt;=2),H10&gt;=0.70,I10&gt;=0.50,OR(N10="",N10&gt;=TODAY()),E10&gt;=F10,E10&lt;=G10),E10,0)</x:f>
        <x:v>0</x:v>
      </x:c>
      <x:c r="Q10" s="68" t="str"/>
      <x:c r="R10" s="68" t="str">
        <x:v>1.2.0</x:v>
      </x:c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8" t="str"/>
      <x:c r="B11" s="68" t="str"/>
      <x:c r="C11" s="68" t="str">
        <x:v>BASE</x:v>
      </x:c>
      <x:c r="D11" s="68" t="str"/>
      <x:c r="E11" s="84" t="n">
        <x:v>0</x:v>
      </x:c>
      <x:c r="F11" s="84" t="n">
        <x:v>-0.015</x:v>
      </x:c>
      <x:c r="G11" s="84" t="n">
        <x:v>0.015</x:v>
      </x:c>
      <x:c r="H11" s="84" t="n">
        <x:v>0</x:v>
      </x:c>
      <x:c r="I11" s="84" t="n">
        <x:v>0</x:v>
      </x:c>
      <x:c r="J11" s="68" t="n">
        <x:v>0</x:v>
      </x:c>
      <x:c r="K11" s="68" t="str">
        <x:v>NO</x:v>
      </x:c>
      <x:c r="L11" s="68" t="str"/>
      <x:c r="M11" s="68" t="str"/>
      <x:c r="N11" s="68" t="str"/>
      <x:c r="O11" s="68" t="str">
        <x:v>NO</x:v>
      </x:c>
      <x:c r="P11" s="84" t="n">
        <x:f>IF(AND(O11="YES",OR(K11="YES",J11&gt;=2),H11&gt;=0.70,I11&gt;=0.50,OR(N11="",N11&gt;=TODAY()),E11&gt;=F11,E11&lt;=G11),E11,0)</x:f>
        <x:v>0</x:v>
      </x:c>
      <x:c r="Q11" s="68" t="str"/>
      <x:c r="R11" s="68" t="str">
        <x:v>1.2.0</x:v>
      </x:c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8" t="str"/>
      <x:c r="B12" s="68" t="str"/>
      <x:c r="C12" s="68" t="str">
        <x:v>BASE</x:v>
      </x:c>
      <x:c r="D12" s="68" t="str"/>
      <x:c r="E12" s="84" t="n">
        <x:v>0</x:v>
      </x:c>
      <x:c r="F12" s="84" t="n">
        <x:v>-0.015</x:v>
      </x:c>
      <x:c r="G12" s="84" t="n">
        <x:v>0.015</x:v>
      </x:c>
      <x:c r="H12" s="84" t="n">
        <x:v>0</x:v>
      </x:c>
      <x:c r="I12" s="84" t="n">
        <x:v>0</x:v>
      </x:c>
      <x:c r="J12" s="68" t="n">
        <x:v>0</x:v>
      </x:c>
      <x:c r="K12" s="68" t="str">
        <x:v>NO</x:v>
      </x:c>
      <x:c r="L12" s="68" t="str"/>
      <x:c r="M12" s="68" t="str"/>
      <x:c r="N12" s="68" t="str"/>
      <x:c r="O12" s="68" t="str">
        <x:v>NO</x:v>
      </x:c>
      <x:c r="P12" s="84" t="n">
        <x:f>IF(AND(O12="YES",OR(K12="YES",J12&gt;=2),H12&gt;=0.70,I12&gt;=0.50,OR(N12="",N12&gt;=TODAY()),E12&gt;=F12,E12&lt;=G12),E12,0)</x:f>
        <x:v>0</x:v>
      </x:c>
      <x:c r="Q12" s="68" t="str"/>
      <x:c r="R12" s="68" t="str">
        <x:v>1.2.0</x:v>
      </x:c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8" t="str"/>
      <x:c r="B13" s="68" t="str"/>
      <x:c r="C13" s="68" t="str">
        <x:v>BASE</x:v>
      </x:c>
      <x:c r="D13" s="68" t="str"/>
      <x:c r="E13" s="84" t="n">
        <x:v>0</x:v>
      </x:c>
      <x:c r="F13" s="84" t="n">
        <x:v>-0.015</x:v>
      </x:c>
      <x:c r="G13" s="84" t="n">
        <x:v>0.015</x:v>
      </x:c>
      <x:c r="H13" s="84" t="n">
        <x:v>0</x:v>
      </x:c>
      <x:c r="I13" s="84" t="n">
        <x:v>0</x:v>
      </x:c>
      <x:c r="J13" s="68" t="n">
        <x:v>0</x:v>
      </x:c>
      <x:c r="K13" s="68" t="str">
        <x:v>NO</x:v>
      </x:c>
      <x:c r="L13" s="68" t="str"/>
      <x:c r="M13" s="68" t="str"/>
      <x:c r="N13" s="68" t="str"/>
      <x:c r="O13" s="68" t="str">
        <x:v>NO</x:v>
      </x:c>
      <x:c r="P13" s="84" t="n">
        <x:f>IF(AND(O13="YES",OR(K13="YES",J13&gt;=2),H13&gt;=0.70,I13&gt;=0.50,OR(N13="",N13&gt;=TODAY()),E13&gt;=F13,E13&lt;=G13),E13,0)</x:f>
        <x:v>0</x:v>
      </x:c>
      <x:c r="Q13" s="68" t="str"/>
      <x:c r="R13" s="68" t="str">
        <x:v>1.2.0</x:v>
      </x:c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8" t="str"/>
      <x:c r="B14" s="68" t="str"/>
      <x:c r="C14" s="68" t="str">
        <x:v>BASE</x:v>
      </x:c>
      <x:c r="D14" s="68" t="str"/>
      <x:c r="E14" s="84" t="n">
        <x:v>0</x:v>
      </x:c>
      <x:c r="F14" s="84" t="n">
        <x:v>-0.015</x:v>
      </x:c>
      <x:c r="G14" s="84" t="n">
        <x:v>0.015</x:v>
      </x:c>
      <x:c r="H14" s="84" t="n">
        <x:v>0</x:v>
      </x:c>
      <x:c r="I14" s="84" t="n">
        <x:v>0</x:v>
      </x:c>
      <x:c r="J14" s="68" t="n">
        <x:v>0</x:v>
      </x:c>
      <x:c r="K14" s="68" t="str">
        <x:v>NO</x:v>
      </x:c>
      <x:c r="L14" s="68" t="str"/>
      <x:c r="M14" s="68" t="str"/>
      <x:c r="N14" s="68" t="str"/>
      <x:c r="O14" s="68" t="str">
        <x:v>NO</x:v>
      </x:c>
      <x:c r="P14" s="84" t="n">
        <x:f>IF(AND(O14="YES",OR(K14="YES",J14&gt;=2),H14&gt;=0.70,I14&gt;=0.50,OR(N14="",N14&gt;=TODAY()),E14&gt;=F14,E14&lt;=G14),E14,0)</x:f>
        <x:v>0</x:v>
      </x:c>
      <x:c r="Q14" s="68" t="str"/>
      <x:c r="R14" s="68" t="str">
        <x:v>1.2.0</x:v>
      </x:c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8" t="str"/>
      <x:c r="B15" s="68" t="str"/>
      <x:c r="C15" s="68" t="str">
        <x:v>BASE</x:v>
      </x:c>
      <x:c r="D15" s="68" t="str"/>
      <x:c r="E15" s="84" t="n">
        <x:v>0</x:v>
      </x:c>
      <x:c r="F15" s="84" t="n">
        <x:v>-0.015</x:v>
      </x:c>
      <x:c r="G15" s="84" t="n">
        <x:v>0.015</x:v>
      </x:c>
      <x:c r="H15" s="84" t="n">
        <x:v>0</x:v>
      </x:c>
      <x:c r="I15" s="84" t="n">
        <x:v>0</x:v>
      </x:c>
      <x:c r="J15" s="68" t="n">
        <x:v>0</x:v>
      </x:c>
      <x:c r="K15" s="68" t="str">
        <x:v>NO</x:v>
      </x:c>
      <x:c r="L15" s="68" t="str"/>
      <x:c r="M15" s="68" t="str"/>
      <x:c r="N15" s="68" t="str"/>
      <x:c r="O15" s="68" t="str">
        <x:v>NO</x:v>
      </x:c>
      <x:c r="P15" s="84" t="n">
        <x:f>IF(AND(O15="YES",OR(K15="YES",J15&gt;=2),H15&gt;=0.70,I15&gt;=0.50,OR(N15="",N15&gt;=TODAY()),E15&gt;=F15,E15&lt;=G15),E15,0)</x:f>
        <x:v>0</x:v>
      </x:c>
      <x:c r="Q15" s="68" t="str"/>
      <x:c r="R15" s="68" t="str">
        <x:v>1.2.0</x:v>
      </x:c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8" t="str"/>
      <x:c r="B16" s="68" t="str"/>
      <x:c r="C16" s="68" t="str">
        <x:v>BASE</x:v>
      </x:c>
      <x:c r="D16" s="68" t="str"/>
      <x:c r="E16" s="84" t="n">
        <x:v>0</x:v>
      </x:c>
      <x:c r="F16" s="84" t="n">
        <x:v>-0.015</x:v>
      </x:c>
      <x:c r="G16" s="84" t="n">
        <x:v>0.015</x:v>
      </x:c>
      <x:c r="H16" s="84" t="n">
        <x:v>0</x:v>
      </x:c>
      <x:c r="I16" s="84" t="n">
        <x:v>0</x:v>
      </x:c>
      <x:c r="J16" s="68" t="n">
        <x:v>0</x:v>
      </x:c>
      <x:c r="K16" s="68" t="str">
        <x:v>NO</x:v>
      </x:c>
      <x:c r="L16" s="68" t="str"/>
      <x:c r="M16" s="68" t="str"/>
      <x:c r="N16" s="68" t="str"/>
      <x:c r="O16" s="68" t="str">
        <x:v>NO</x:v>
      </x:c>
      <x:c r="P16" s="84" t="n">
        <x:f>IF(AND(O16="YES",OR(K16="YES",J16&gt;=2),H16&gt;=0.70,I16&gt;=0.50,OR(N16="",N16&gt;=TODAY()),E16&gt;=F16,E16&lt;=G16),E16,0)</x:f>
        <x:v>0</x:v>
      </x:c>
      <x:c r="Q16" s="68" t="str"/>
      <x:c r="R16" s="68" t="str">
        <x:v>1.2.0</x:v>
      </x:c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8" t="str"/>
      <x:c r="B17" s="68" t="str"/>
      <x:c r="C17" s="68" t="str">
        <x:v>BASE</x:v>
      </x:c>
      <x:c r="D17" s="68" t="str"/>
      <x:c r="E17" s="84" t="n">
        <x:v>0</x:v>
      </x:c>
      <x:c r="F17" s="84" t="n">
        <x:v>-0.015</x:v>
      </x:c>
      <x:c r="G17" s="84" t="n">
        <x:v>0.015</x:v>
      </x:c>
      <x:c r="H17" s="84" t="n">
        <x:v>0</x:v>
      </x:c>
      <x:c r="I17" s="84" t="n">
        <x:v>0</x:v>
      </x:c>
      <x:c r="J17" s="68" t="n">
        <x:v>0</x:v>
      </x:c>
      <x:c r="K17" s="68" t="str">
        <x:v>NO</x:v>
      </x:c>
      <x:c r="L17" s="68" t="str"/>
      <x:c r="M17" s="68" t="str"/>
      <x:c r="N17" s="68" t="str"/>
      <x:c r="O17" s="68" t="str">
        <x:v>NO</x:v>
      </x:c>
      <x:c r="P17" s="84" t="n">
        <x:f>IF(AND(O17="YES",OR(K17="YES",J17&gt;=2),H17&gt;=0.70,I17&gt;=0.50,OR(N17="",N17&gt;=TODAY()),E17&gt;=F17,E17&lt;=G17),E17,0)</x:f>
        <x:v>0</x:v>
      </x:c>
      <x:c r="Q17" s="68" t="str"/>
      <x:c r="R17" s="68" t="str">
        <x:v>1.2.0</x:v>
      </x:c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8" t="str"/>
      <x:c r="B18" s="68" t="str"/>
      <x:c r="C18" s="68" t="str">
        <x:v>BASE</x:v>
      </x:c>
      <x:c r="D18" s="68" t="str"/>
      <x:c r="E18" s="84" t="n">
        <x:v>0</x:v>
      </x:c>
      <x:c r="F18" s="84" t="n">
        <x:v>-0.015</x:v>
      </x:c>
      <x:c r="G18" s="84" t="n">
        <x:v>0.015</x:v>
      </x:c>
      <x:c r="H18" s="84" t="n">
        <x:v>0</x:v>
      </x:c>
      <x:c r="I18" s="84" t="n">
        <x:v>0</x:v>
      </x:c>
      <x:c r="J18" s="68" t="n">
        <x:v>0</x:v>
      </x:c>
      <x:c r="K18" s="68" t="str">
        <x:v>NO</x:v>
      </x:c>
      <x:c r="L18" s="68" t="str"/>
      <x:c r="M18" s="68" t="str"/>
      <x:c r="N18" s="68" t="str"/>
      <x:c r="O18" s="68" t="str">
        <x:v>NO</x:v>
      </x:c>
      <x:c r="P18" s="84" t="n">
        <x:f>IF(AND(O18="YES",OR(K18="YES",J18&gt;=2),H18&gt;=0.70,I18&gt;=0.50,OR(N18="",N18&gt;=TODAY()),E18&gt;=F18,E18&lt;=G18),E18,0)</x:f>
        <x:v>0</x:v>
      </x:c>
      <x:c r="Q18" s="68" t="str"/>
      <x:c r="R18" s="68" t="str">
        <x:v>1.2.0</x:v>
      </x:c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8" t="str"/>
      <x:c r="B19" s="68" t="str"/>
      <x:c r="C19" s="68" t="str">
        <x:v>BASE</x:v>
      </x:c>
      <x:c r="D19" s="68" t="str"/>
      <x:c r="E19" s="84" t="n">
        <x:v>0</x:v>
      </x:c>
      <x:c r="F19" s="84" t="n">
        <x:v>-0.015</x:v>
      </x:c>
      <x:c r="G19" s="84" t="n">
        <x:v>0.015</x:v>
      </x:c>
      <x:c r="H19" s="84" t="n">
        <x:v>0</x:v>
      </x:c>
      <x:c r="I19" s="84" t="n">
        <x:v>0</x:v>
      </x:c>
      <x:c r="J19" s="68" t="n">
        <x:v>0</x:v>
      </x:c>
      <x:c r="K19" s="68" t="str">
        <x:v>NO</x:v>
      </x:c>
      <x:c r="L19" s="68" t="str"/>
      <x:c r="M19" s="68" t="str"/>
      <x:c r="N19" s="68" t="str"/>
      <x:c r="O19" s="68" t="str">
        <x:v>NO</x:v>
      </x:c>
      <x:c r="P19" s="84" t="n">
        <x:f>IF(AND(O19="YES",OR(K19="YES",J19&gt;=2),H19&gt;=0.70,I19&gt;=0.50,OR(N19="",N19&gt;=TODAY()),E19&gt;=F19,E19&lt;=G19),E19,0)</x:f>
        <x:v>0</x:v>
      </x:c>
      <x:c r="Q19" s="68" t="str"/>
      <x:c r="R19" s="68" t="str">
        <x:v>1.2.0</x:v>
      </x:c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8" t="str"/>
      <x:c r="B20" s="68" t="str"/>
      <x:c r="C20" s="68" t="str">
        <x:v>BASE</x:v>
      </x:c>
      <x:c r="D20" s="68" t="str"/>
      <x:c r="E20" s="84" t="n">
        <x:v>0</x:v>
      </x:c>
      <x:c r="F20" s="84" t="n">
        <x:v>-0.015</x:v>
      </x:c>
      <x:c r="G20" s="84" t="n">
        <x:v>0.015</x:v>
      </x:c>
      <x:c r="H20" s="84" t="n">
        <x:v>0</x:v>
      </x:c>
      <x:c r="I20" s="84" t="n">
        <x:v>0</x:v>
      </x:c>
      <x:c r="J20" s="68" t="n">
        <x:v>0</x:v>
      </x:c>
      <x:c r="K20" s="68" t="str">
        <x:v>NO</x:v>
      </x:c>
      <x:c r="L20" s="68" t="str"/>
      <x:c r="M20" s="68" t="str"/>
      <x:c r="N20" s="68" t="str"/>
      <x:c r="O20" s="68" t="str">
        <x:v>NO</x:v>
      </x:c>
      <x:c r="P20" s="84" t="n">
        <x:f>IF(AND(O20="YES",OR(K20="YES",J20&gt;=2),H20&gt;=0.70,I20&gt;=0.50,OR(N20="",N20&gt;=TODAY()),E20&gt;=F20,E20&lt;=G20),E20,0)</x:f>
        <x:v>0</x:v>
      </x:c>
      <x:c r="Q20" s="68" t="str"/>
      <x:c r="R20" s="68" t="str">
        <x:v>1.2.0</x:v>
      </x:c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8" t="str"/>
      <x:c r="B21" s="68" t="str"/>
      <x:c r="C21" s="68" t="str">
        <x:v>BASE</x:v>
      </x:c>
      <x:c r="D21" s="68" t="str"/>
      <x:c r="E21" s="84" t="n">
        <x:v>0</x:v>
      </x:c>
      <x:c r="F21" s="84" t="n">
        <x:v>-0.015</x:v>
      </x:c>
      <x:c r="G21" s="84" t="n">
        <x:v>0.015</x:v>
      </x:c>
      <x:c r="H21" s="84" t="n">
        <x:v>0</x:v>
      </x:c>
      <x:c r="I21" s="84" t="n">
        <x:v>0</x:v>
      </x:c>
      <x:c r="J21" s="68" t="n">
        <x:v>0</x:v>
      </x:c>
      <x:c r="K21" s="68" t="str">
        <x:v>NO</x:v>
      </x:c>
      <x:c r="L21" s="68" t="str"/>
      <x:c r="M21" s="68" t="str"/>
      <x:c r="N21" s="68" t="str"/>
      <x:c r="O21" s="68" t="str">
        <x:v>NO</x:v>
      </x:c>
      <x:c r="P21" s="84" t="n">
        <x:f>IF(AND(O21="YES",OR(K21="YES",J21&gt;=2),H21&gt;=0.70,I21&gt;=0.50,OR(N21="",N21&gt;=TODAY()),E21&gt;=F21,E21&lt;=G21),E21,0)</x:f>
        <x:v>0</x:v>
      </x:c>
      <x:c r="Q21" s="68" t="str"/>
      <x:c r="R21" s="68" t="str">
        <x:v>1.2.0</x:v>
      </x:c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8" t="str"/>
      <x:c r="B22" s="68" t="str"/>
      <x:c r="C22" s="68" t="str">
        <x:v>BASE</x:v>
      </x:c>
      <x:c r="D22" s="68" t="str"/>
      <x:c r="E22" s="84" t="n">
        <x:v>0</x:v>
      </x:c>
      <x:c r="F22" s="84" t="n">
        <x:v>-0.015</x:v>
      </x:c>
      <x:c r="G22" s="84" t="n">
        <x:v>0.015</x:v>
      </x:c>
      <x:c r="H22" s="84" t="n">
        <x:v>0</x:v>
      </x:c>
      <x:c r="I22" s="84" t="n">
        <x:v>0</x:v>
      </x:c>
      <x:c r="J22" s="68" t="n">
        <x:v>0</x:v>
      </x:c>
      <x:c r="K22" s="68" t="str">
        <x:v>NO</x:v>
      </x:c>
      <x:c r="L22" s="68" t="str"/>
      <x:c r="M22" s="68" t="str"/>
      <x:c r="N22" s="68" t="str"/>
      <x:c r="O22" s="68" t="str">
        <x:v>NO</x:v>
      </x:c>
      <x:c r="P22" s="84" t="n">
        <x:f>IF(AND(O22="YES",OR(K22="YES",J22&gt;=2),H22&gt;=0.70,I22&gt;=0.50,OR(N22="",N22&gt;=TODAY()),E22&gt;=F22,E22&lt;=G22),E22,0)</x:f>
        <x:v>0</x:v>
      </x:c>
      <x:c r="Q22" s="68" t="str"/>
      <x:c r="R22" s="68" t="str">
        <x:v>1.2.0</x:v>
      </x:c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8" t="str"/>
      <x:c r="B23" s="68" t="str"/>
      <x:c r="C23" s="68" t="str">
        <x:v>BASE</x:v>
      </x:c>
      <x:c r="D23" s="68" t="str"/>
      <x:c r="E23" s="84" t="n">
        <x:v>0</x:v>
      </x:c>
      <x:c r="F23" s="84" t="n">
        <x:v>-0.015</x:v>
      </x:c>
      <x:c r="G23" s="84" t="n">
        <x:v>0.015</x:v>
      </x:c>
      <x:c r="H23" s="84" t="n">
        <x:v>0</x:v>
      </x:c>
      <x:c r="I23" s="84" t="n">
        <x:v>0</x:v>
      </x:c>
      <x:c r="J23" s="68" t="n">
        <x:v>0</x:v>
      </x:c>
      <x:c r="K23" s="68" t="str">
        <x:v>NO</x:v>
      </x:c>
      <x:c r="L23" s="68" t="str"/>
      <x:c r="M23" s="68" t="str"/>
      <x:c r="N23" s="68" t="str"/>
      <x:c r="O23" s="68" t="str">
        <x:v>NO</x:v>
      </x:c>
      <x:c r="P23" s="84" t="n">
        <x:f>IF(AND(O23="YES",OR(K23="YES",J23&gt;=2),H23&gt;=0.70,I23&gt;=0.50,OR(N23="",N23&gt;=TODAY()),E23&gt;=F23,E23&lt;=G23),E23,0)</x:f>
        <x:v>0</x:v>
      </x:c>
      <x:c r="Q23" s="68" t="str"/>
      <x:c r="R23" s="68" t="str">
        <x:v>1.2.0</x:v>
      </x:c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R1"/>
  </x:mergeCells>
  <x:dataValidations count="3">
    <x:dataValidation type="list" sqref="C4:C23">
      <x:formula1>"CONSERVATIVE,BASE,OPTIMISTIC"</x:formula1>
    </x:dataValidation>
    <x:dataValidation type="list" sqref="K4:K23">
      <x:formula1>"YES,NO"</x:formula1>
    </x:dataValidation>
    <x:dataValidation type="list" sqref="O4:O23">
      <x:formula1>"YES,NO"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4" hidden="0" customWidth="1"/>
    <x:col min="12" max="12" width="14" hidden="0" customWidth="1"/>
    <x:col min="13" max="13" width="14" hidden="0" customWidth="1"/>
    <x:col min="14" max="14" width="42" hidden="0" customWidth="1"/>
  </x:cols>
  <x:sheetData>
    <x:row r="1" ht="28" customHeight="1">
      <x:c r="A1" s="5" t="str">
        <x:v>DRIVERS BASE Y AJUSTADOS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driver_code</x:v>
      </x:c>
      <x:c r="B3" s="22" t="str">
        <x:v>strategy</x:v>
      </x:c>
      <x:c r="C3" s="22" t="str">
        <x:v>historical_weight</x:v>
      </x:c>
      <x:c r="D3" s="22" t="str">
        <x:v>sector_weight</x:v>
      </x:c>
      <x:c r="E3" s="22" t="str">
        <x:v>historical_value</x:v>
      </x:c>
      <x:c r="F3" s="22" t="str">
        <x:v>sector_reference</x:v>
      </x:c>
      <x:c r="G3" s="22" t="str">
        <x:v>manual_override</x:v>
      </x:c>
      <x:c r="H3" s="22" t="str">
        <x:v>news_adjustment</x:v>
      </x:c>
      <x:c r="I3" s="22" t="str">
        <x:v>base_driver</x:v>
      </x:c>
      <x:c r="J3" s="22" t="str">
        <x:v>adjusted_driver</x:v>
      </x:c>
      <x:c r="K3" s="22" t="str">
        <x:v>lower_bound</x:v>
      </x:c>
      <x:c r="L3" s="22" t="str">
        <x:v>upper_bound</x:v>
      </x:c>
      <x:c r="M3" s="22" t="str">
        <x:v>confidence</x:v>
      </x:c>
      <x:c r="N3" s="22" t="str">
        <x:v>explanation</x:v>
      </x:c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revenue_growth</x:v>
      </x:c>
      <x:c r="B4" s="68" t="str">
        <x:v>BLEND</x:v>
      </x:c>
      <x:c r="C4" s="84" t="n">
        <x:v>0.6</x:v>
      </x:c>
      <x:c r="D4" s="84" t="n">
        <x:v>0.4</x:v>
      </x:c>
      <x:c r="E4" s="76" t="n">
        <x:f>'03_NORMALIZACION'!G4</x:f>
        <x:v>0</x:v>
      </x:c>
      <x:c r="F4" s="84" t="n">
        <x:v>0.08</x:v>
      </x:c>
      <x:c r="G4" s="84" t="n">
        <x:v>0</x:v>
      </x:c>
      <x:c r="H4" s="84" t="n">
        <x:f>SUMIF('05_AJUSTES_NOTICIAS'!$B$4:$B$23,A4,'05_AJUSTES_NOTICIAS'!$P$4:$P$23)</x:f>
        <x:v>0</x:v>
      </x:c>
      <x:c r="I4" s="76" t="n">
        <x:f>IF(B4="MANUAL",G4,IF(B4="CONVERGENCE",E4*(1-C4)+F4*C4,IF(B4="MAX",MAX(E4,F4),IF(B4="MIN",MIN(F4,'07_WACC'!B28),E4*C4+F4*D4))))</x:f>
        <x:v>0.032</x:v>
      </x:c>
      <x:c r="J4" s="76" t="n">
        <x:f>MAX(K4,MIN(L4,I4+H4))</x:f>
        <x:v>0.032</x:v>
      </x:c>
      <x:c r="K4" s="84" t="n">
        <x:v>-0.2</x:v>
      </x:c>
      <x:c r="L4" s="84" t="n">
        <x:v>0.35</x:v>
      </x:c>
      <x:c r="M4" s="68" t="str">
        <x:v>MEDIUM</x:v>
      </x:c>
      <x:c r="N4" s="62" t="str">
        <x:v>CAGR/crecimiento medio + referencia sector</x:v>
      </x:c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ebit_margin</x:v>
      </x:c>
      <x:c r="B5" s="68" t="str">
        <x:v>CONVERGENCE</x:v>
      </x:c>
      <x:c r="C5" s="84" t="n">
        <x:v>0.65</x:v>
      </x:c>
      <x:c r="D5" s="84" t="n">
        <x:v>0.35</x:v>
      </x:c>
      <x:c r="E5" s="76" t="n">
        <x:f>'03_NORMALIZACION'!E9</x:f>
        <x:v>0</x:v>
      </x:c>
      <x:c r="F5" s="84" t="n">
        <x:v>0.2</x:v>
      </x:c>
      <x:c r="G5" s="84" t="n">
        <x:v>0</x:v>
      </x:c>
      <x:c r="H5" s="84" t="n">
        <x:f>SUMIF('05_AJUSTES_NOTICIAS'!$B$4:$B$23,A5,'05_AJUSTES_NOTICIAS'!$P$4:$P$23)</x:f>
        <x:v>0</x:v>
      </x:c>
      <x:c r="I5" s="76" t="n">
        <x:f>IF(B5="MANUAL",G5,IF(B5="CONVERGENCE",E5*(1-C5)+F5*C5,IF(B5="MAX",MAX(E5,F5),IF(B5="MIN",MIN(F5,'07_WACC'!B28),E5*C5+F5*D5))))</x:f>
        <x:v>0.13</x:v>
      </x:c>
      <x:c r="J5" s="76" t="n">
        <x:f>MAX(K5,MIN(L5,I5+H5))</x:f>
        <x:v>0.13</x:v>
      </x:c>
      <x:c r="K5" s="84" t="n">
        <x:v>-0.3</x:v>
      </x:c>
      <x:c r="L5" s="84" t="n">
        <x:v>0.5</x:v>
      </x:c>
      <x:c r="M5" s="68" t="str">
        <x:v>MEDIUM</x:v>
      </x:c>
      <x:c r="N5" s="62" t="str">
        <x:v>Margen FY0 converge al objetivo</x:v>
      </x:c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tax_rate</x:v>
      </x:c>
      <x:c r="B6" s="68" t="str">
        <x:v>BLEND</x:v>
      </x:c>
      <x:c r="C6" s="84" t="n">
        <x:v>0.8</x:v>
      </x:c>
      <x:c r="D6" s="84" t="n">
        <x:v>0.2</x:v>
      </x:c>
      <x:c r="E6" s="76" t="n">
        <x:f>'03_NORMALIZACION'!F11</x:f>
        <x:v>0</x:v>
      </x:c>
      <x:c r="F6" s="84" t="n">
        <x:f>'01_CONTROL'!B32</x:f>
        <x:v>0</x:v>
      </x:c>
      <x:c r="G6" s="84" t="n">
        <x:v>0</x:v>
      </x:c>
      <x:c r="H6" s="84" t="n">
        <x:f>SUMIF('05_AJUSTES_NOTICIAS'!$B$4:$B$23,A6,'05_AJUSTES_NOTICIAS'!$P$4:$P$23)</x:f>
        <x:v>0</x:v>
      </x:c>
      <x:c r="I6" s="76" t="n">
        <x:f>IF(B6="MANUAL",G6,IF(B6="CONVERGENCE",E6*(1-C6)+F6*C6,IF(B6="MAX",MAX(E6,F6),IF(B6="MIN",MIN(F6,'07_WACC'!B28),E6*C6+F6*D6))))</x:f>
        <x:v>0</x:v>
      </x:c>
      <x:c r="J6" s="76" t="n">
        <x:f>MAX(K6,MIN(L6,I6+H6))</x:f>
        <x:v>0</x:v>
      </x:c>
      <x:c r="K6" s="84" t="n">
        <x:v>0</x:v>
      </x:c>
      <x:c r="L6" s="84" t="n">
        <x:v>0.45</x:v>
      </x:c>
      <x:c r="M6" s="68" t="str">
        <x:v>MEDIUM</x:v>
      </x:c>
      <x:c r="N6" s="62" t="str">
        <x:v>Histórico + tax_rate dinámico del snapshot</x:v>
      </x:c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da_to_revenue</x:v>
      </x:c>
      <x:c r="B7" s="68" t="str">
        <x:v>BLEND</x:v>
      </x:c>
      <x:c r="C7" s="84" t="n">
        <x:v>0.75</x:v>
      </x:c>
      <x:c r="D7" s="84" t="n">
        <x:v>0.25</x:v>
      </x:c>
      <x:c r="E7" s="76" t="n">
        <x:f>'03_NORMALIZACION'!F12</x:f>
        <x:v>0</x:v>
      </x:c>
      <x:c r="F7" s="84" t="n">
        <x:v>0.024</x:v>
      </x:c>
      <x:c r="G7" s="84" t="n">
        <x:v>0</x:v>
      </x:c>
      <x:c r="H7" s="84" t="n">
        <x:f>SUMIF('05_AJUSTES_NOTICIAS'!$B$4:$B$23,A7,'05_AJUSTES_NOTICIAS'!$P$4:$P$23)</x:f>
        <x:v>0</x:v>
      </x:c>
      <x:c r="I7" s="76" t="n">
        <x:f>IF(B7="MANUAL",G7,IF(B7="CONVERGENCE",E7*(1-C7)+F7*C7,IF(B7="MAX",MAX(E7,F7),IF(B7="MIN",MIN(F7,'07_WACC'!B28),E7*C7+F7*D7))))</x:f>
        <x:v>0.006</x:v>
      </x:c>
      <x:c r="J7" s="76" t="n">
        <x:f>MAX(K7,MIN(L7,I7+H7))</x:f>
        <x:v>0.006</x:v>
      </x:c>
      <x:c r="K7" s="84" t="n">
        <x:v>0</x:v>
      </x:c>
      <x:c r="L7" s="84" t="n">
        <x:v>0.3</x:v>
      </x:c>
      <x:c r="M7" s="68" t="str">
        <x:v>MEDIUM</x:v>
      </x:c>
      <x:c r="N7" s="62" t="str">
        <x:v>Histórico + referencia</x:v>
      </x:c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capex_to_revenue</x:v>
      </x:c>
      <x:c r="B8" s="68" t="str">
        <x:v>MAX</x:v>
      </x:c>
      <x:c r="C8" s="84" t="n">
        <x:v>0.7</x:v>
      </x:c>
      <x:c r="D8" s="84" t="n">
        <x:v>0.3</x:v>
      </x:c>
      <x:c r="E8" s="76" t="n">
        <x:f>'03_NORMALIZACION'!F13</x:f>
        <x:v>0</x:v>
      </x:c>
      <x:c r="F8" s="84" t="n">
        <x:v>0.03</x:v>
      </x:c>
      <x:c r="G8" s="84" t="n">
        <x:v>0</x:v>
      </x:c>
      <x:c r="H8" s="84" t="n">
        <x:f>SUMIF('05_AJUSTES_NOTICIAS'!$B$4:$B$23,A8,'05_AJUSTES_NOTICIAS'!$P$4:$P$23)</x:f>
        <x:v>0</x:v>
      </x:c>
      <x:c r="I8" s="76" t="n">
        <x:f>IF(B8="MANUAL",G8,IF(B8="CONVERGENCE",E8*(1-C8)+F8*C8,IF(B8="MAX",MAX(E8,F8),IF(B8="MIN",MIN(F8,'07_WACC'!B28),E8*C8+F8*D8))))</x:f>
        <x:v>0.03</x:v>
      </x:c>
      <x:c r="J8" s="76" t="n">
        <x:f>MAX(K8,MIN(L8,I8+H8))</x:f>
        <x:v>0.03</x:v>
      </x:c>
      <x:c r="K8" s="84" t="n">
        <x:v>0</x:v>
      </x:c>
      <x:c r="L8" s="84" t="n">
        <x:v>0.4</x:v>
      </x:c>
      <x:c r="M8" s="68" t="str">
        <x:v>MEDIUM</x:v>
      </x:c>
      <x:c r="N8" s="62" t="str">
        <x:v>No infraestimar mantenimiento</x:v>
      </x:c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change_nwc_to_revenue</x:v>
      </x:c>
      <x:c r="B9" s="68" t="str">
        <x:v>BLEND</x:v>
      </x:c>
      <x:c r="C9" s="84" t="n">
        <x:v>0.75</x:v>
      </x:c>
      <x:c r="D9" s="84" t="n">
        <x:v>0.25</x:v>
      </x:c>
      <x:c r="E9" s="76" t="n">
        <x:f>'03_NORMALIZACION'!F14</x:f>
        <x:v>0</x:v>
      </x:c>
      <x:c r="F9" s="84" t="n">
        <x:v>0.01</x:v>
      </x:c>
      <x:c r="G9" s="84" t="n">
        <x:v>0</x:v>
      </x:c>
      <x:c r="H9" s="84" t="n">
        <x:f>SUMIF('05_AJUSTES_NOTICIAS'!$B$4:$B$23,A9,'05_AJUSTES_NOTICIAS'!$P$4:$P$23)</x:f>
        <x:v>0</x:v>
      </x:c>
      <x:c r="I9" s="76" t="n">
        <x:f>IF(B9="MANUAL",G9,IF(B9="CONVERGENCE",E9*(1-C9)+F9*C9,IF(B9="MAX",MAX(E9,F9),IF(B9="MIN",MIN(F9,'07_WACC'!B28),E9*C9+F9*D9))))</x:f>
        <x:v>0.0025</x:v>
      </x:c>
      <x:c r="J9" s="76" t="n">
        <x:f>MAX(K9,MIN(L9,I9+H9))</x:f>
        <x:v>0.0025</x:v>
      </x:c>
      <x:c r="K9" s="84" t="n">
        <x:v>-0.2</x:v>
      </x:c>
      <x:c r="L9" s="84" t="n">
        <x:v>0.3</x:v>
      </x:c>
      <x:c r="M9" s="68" t="str">
        <x:v>MEDIUM</x:v>
      </x:c>
      <x:c r="N9" s="62" t="str">
        <x:v>Histórico + sector</x:v>
      </x:c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terminal_growth</x:v>
      </x:c>
      <x:c r="B10" s="68" t="str">
        <x:v>MIN</x:v>
      </x:c>
      <x:c r="C10" s="84" t="n">
        <x:v>0</x:v>
      </x:c>
      <x:c r="D10" s="84" t="n">
        <x:v>1</x:v>
      </x:c>
      <x:c r="E10" s="76" t="n">
        <x:f>0</x:f>
        <x:v>0</x:v>
      </x:c>
      <x:c r="F10" s="84" t="n">
        <x:v>0.0225</x:v>
      </x:c>
      <x:c r="G10" s="84" t="n">
        <x:v>0</x:v>
      </x:c>
      <x:c r="H10" s="84" t="n">
        <x:f>SUMIF('05_AJUSTES_NOTICIAS'!$B$4:$B$23,A10,'05_AJUSTES_NOTICIAS'!$P$4:$P$23)</x:f>
        <x:v>0</x:v>
      </x:c>
      <x:c r="I10" s="76" t="n">
        <x:f>IF(B10="MANUAL",G10,IF(B10="CONVERGENCE",E10*(1-C10)+F10*C10,IF(B10="MAX",MAX(E10,F10),IF(B10="MIN",MIN(F10,'07_WACC'!B28),E10*C10+F10*D10))))</x:f>
        <x:v>0.0225</x:v>
      </x:c>
      <x:c r="J10" s="76" t="n">
        <x:f>MAX(K10,MIN(L10,I10+H10))</x:f>
        <x:v>0.0225</x:v>
      </x:c>
      <x:c r="K10" s="84" t="n">
        <x:v>-0.05</x:v>
      </x:c>
      <x:c r="L10" s="84" t="n">
        <x:v>0.05</x:v>
      </x:c>
      <x:c r="M10" s="68" t="str">
        <x:v>MEDIUM</x:v>
      </x:c>
      <x:c r="N10" s="62" t="str">
        <x:v>Mínimo país/sector</x:v>
      </x:c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beta</x:v>
      </x:c>
      <x:c r="B11" s="68" t="str">
        <x:v>SECTOR</x:v>
      </x:c>
      <x:c r="C11" s="84" t="n">
        <x:v>0</x:v>
      </x:c>
      <x:c r="D11" s="84" t="n">
        <x:v>1</x:v>
      </x:c>
      <x:c r="E11" s="76" t="n">
        <x:f>0</x:f>
        <x:v>0</x:v>
      </x:c>
      <x:c r="F11" s="84" t="n">
        <x:f>'01_CONTROL'!B37</x:f>
        <x:v>0</x:v>
      </x:c>
      <x:c r="G11" s="84" t="n">
        <x:v>0</x:v>
      </x:c>
      <x:c r="H11" s="84" t="n">
        <x:f>SUMIF('05_AJUSTES_NOTICIAS'!$B$4:$B$23,A11,'05_AJUSTES_NOTICIAS'!$P$4:$P$23)</x:f>
        <x:v>0</x:v>
      </x:c>
      <x:c r="I11" s="76" t="n">
        <x:f>IF(B11="MANUAL",G11,IF(B11="CONVERGENCE",E11*(1-C11)+F11*C11,IF(B11="MAX",MAX(E11,F11),IF(B11="MIN",MIN(F11,'07_WACC'!B28),E11*C11+F11*D11))))</x:f>
        <x:v>0</x:v>
      </x:c>
      <x:c r="J11" s="76" t="n">
        <x:f>MAX(K11,MIN(L11,I11+H11))</x:f>
        <x:v>0.2</x:v>
      </x:c>
      <x:c r="K11" s="84" t="n">
        <x:v>0.2</x:v>
      </x:c>
      <x:c r="L11" s="84" t="n">
        <x:v>3</x:v>
      </x:c>
      <x:c r="M11" s="68" t="str">
        <x:v>MEDIUM</x:v>
      </x:c>
      <x:c r="N11" s="62" t="str">
        <x:v>Beta sectorial dinámico (Damodaran / BD)</x:v>
      </x:c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exit_multiple</x:v>
      </x:c>
      <x:c r="B12" s="68" t="str">
        <x:v>SECTOR</x:v>
      </x:c>
      <x:c r="C12" s="68" t="n">
        <x:v>0</x:v>
      </x:c>
      <x:c r="D12" s="68" t="n">
        <x:v>1</x:v>
      </x:c>
      <x:c r="E12" s="62" t="n">
        <x:f>0</x:f>
        <x:v>0</x:v>
      </x:c>
      <x:c r="F12" s="86" t="n">
        <x:v>14</x:v>
      </x:c>
      <x:c r="G12" s="86" t="n">
        <x:v>0</x:v>
      </x:c>
      <x:c r="H12" s="86" t="n">
        <x:f>SUMIF('05_AJUSTES_NOTICIAS'!$B$4:$B$23,A12,'05_AJUSTES_NOTICIAS'!$P$4:$P$23)</x:f>
        <x:v>0</x:v>
      </x:c>
      <x:c r="I12" s="78" t="n">
        <x:f>IF(B12="MANUAL",G12,IF(B12="CONVERGENCE",E12*(1-C12)+F12*C12,IF(B12="MAX",MAX(E12,F12),IF(B12="MIN",MIN(F12,'07_WACC'!B28),E12*C12+F12*D12))))</x:f>
        <x:v>14</x:v>
      </x:c>
      <x:c r="J12" s="78" t="n">
        <x:f>MAX(K12,MIN(L12,I12+H12))</x:f>
        <x:v>14</x:v>
      </x:c>
      <x:c r="K12" s="86" t="n">
        <x:v>0.1</x:v>
      </x:c>
      <x:c r="L12" s="86" t="n">
        <x:v>50</x:v>
      </x:c>
      <x:c r="M12" s="68" t="str">
        <x:v>MEDIUM</x:v>
      </x:c>
      <x:c r="N12" s="62" t="str">
        <x:v>Múltiplo sector</x:v>
      </x:c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N1"/>
  </x:mergeCells>
  <x:dataValidations count="2">
    <x:dataValidation type="list" sqref="B4:B12">
      <x:formula1>"BLEND,CONVERGENCE,MAX,MIN,MANUAL,SECTOR"</x:formula1>
    </x:dataValidation>
    <x:dataValidation type="list" sqref="M4:M12">
      <x:formula1>"HIGH,MEDIUM,LOW"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35" hidden="0" customWidth="1"/>
    <x:col min="3" max="3" width="29" hidden="0" customWidth="1"/>
    <x:col min="4" max="4" width="32" hidden="0" customWidth="1"/>
    <x:col min="5" max="5" width="4" hidden="0" customWidth="1"/>
    <x:col min="6" max="6" width="37" hidden="0" customWidth="1"/>
    <x:col min="7" max="7" width="4" hidden="0" customWidth="1"/>
    <x:col min="8" max="8" width="20" hidden="0" customWidth="1"/>
    <x:col min="9" max="9" width="4" hidden="0" customWidth="1"/>
    <x:col min="10" max="10" width="20" hidden="0" customWidth="1"/>
    <x:col min="11" max="11" width="4" hidden="0" customWidth="1"/>
    <x:col min="12" max="12" width="20" hidden="0" customWidth="1"/>
    <x:col min="13" max="13" width="5" hidden="0" customWidth="1"/>
  </x:cols>
  <x:sheetData>
    <x:row r="1" ht="28" customHeight="1">
      <x:c r="A1" s="5" t="str">
        <x:v>COSTE DE CAPITAL POR MERCADO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112" t="str">
        <x:v>CONTRATO DE DATOS</x:v>
      </x:c>
      <x:c r="B3" s="112" t="str">
        <x:v>Entrada / origen</x:v>
      </x:c>
      <x:c r="C3" s="112" t="str">
        <x:v>Unidad</x:v>
      </x:c>
      <x:c r="D3" s="112" t="str">
        <x:v>Verificación</x:v>
      </x:c>
      <x:c r="E3" s="22"/>
      <x:c r="F3" s="22"/>
      <x:c r="G3" s="22"/>
      <x:c r="H3" s="22"/>
      <x:c r="I3" s="22"/>
      <x:c r="J3" s="22"/>
      <x:c r="K3" s="2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8" t="str">
        <x:v>Rf (bono soberano 10 años)</x:v>
      </x:c>
      <x:c r="B4" s="68" t="str">
        <x:v>pais.interes_bono_10_ano</x:v>
      </x:c>
      <x:c r="C4" s="84" t="str">
        <x:v>decimal: 4.68% = 0.0468</x:v>
      </x:c>
      <x:c r="D4" s="84" t="str">
        <x:v>misma divisa valoración</x:v>
      </x:c>
      <x:c r="E4" s="84"/>
      <x:c r="F4" s="84"/>
      <x:c r="G4" s="84"/>
      <x:c r="H4" s="84"/>
      <x:c r="I4" s="84"/>
      <x:c r="J4" s="68"/>
      <x:c r="K4" s="68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8" t="str">
        <x:v>Beta sector</x:v>
      </x:c>
      <x:c r="B5" s="68" t="str">
        <x:v>sector.sensibilidad_al_mercado</x:v>
      </x:c>
      <x:c r="C5" s="84" t="str">
        <x:v>adimensional</x:v>
      </x:c>
      <x:c r="D5" s="84" t="str">
        <x:v>ver apalancamiento</x:v>
      </x:c>
      <x:c r="E5" s="84"/>
      <x:c r="F5" s="84"/>
      <x:c r="G5" s="84"/>
      <x:c r="H5" s="84"/>
      <x:c r="I5" s="84"/>
      <x:c r="J5" s="68"/>
      <x:c r="K5" s="68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8" t="str">
        <x:v>ERP total Damodaran</x:v>
      </x:c>
      <x:c r="B6" s="68" t="str">
        <x:v>pais.prima_riesgo_mercado</x:v>
      </x:c>
      <x:c r="C6" s="84" t="str">
        <x:v>decimal: 4.46% = 0.0446</x:v>
      </x:c>
      <x:c r="D6" s="84" t="str">
        <x:v>incluye CRP; NO duplicar</x:v>
      </x:c>
      <x:c r="E6" s="84"/>
      <x:c r="F6" s="84"/>
      <x:c r="G6" s="84"/>
      <x:c r="H6" s="84"/>
      <x:c r="I6" s="84"/>
      <x:c r="J6" s="68"/>
      <x:c r="K6" s="68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8" t="str">
        <x:v>Deuda financiera con coste</x:v>
      </x:c>
      <x:c r="B7" s="68" t="str">
        <x:v>sumas deuda financiera</x:v>
      </x:c>
      <x:c r="C7" s="84" t="str">
        <x:v>millones</x:v>
      </x:c>
      <x:c r="D7" s="84" t="str">
        <x:v>NO pasivo total</x:v>
      </x:c>
      <x:c r="E7" s="84"/>
      <x:c r="F7" s="84"/>
      <x:c r="G7" s="84"/>
      <x:c r="H7" s="84"/>
      <x:c r="I7" s="84"/>
      <x:c r="J7" s="68"/>
      <x:c r="K7" s="68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8" t="str">
        <x:v>Patrimonio de mercado</x:v>
      </x:c>
      <x:c r="B8" s="68" t="str">
        <x:v>precio x acciones diluidas</x:v>
      </x:c>
      <x:c r="C8" s="84" t="str">
        <x:v>millones</x:v>
      </x:c>
      <x:c r="D8" s="84" t="str">
        <x:v>acciones en millones</x:v>
      </x:c>
      <x:c r="E8" s="84"/>
      <x:c r="F8" s="84"/>
      <x:c r="G8" s="84"/>
      <x:c r="H8" s="84"/>
      <x:c r="I8" s="84"/>
      <x:c r="J8" s="68"/>
      <x:c r="K8" s="68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8" t="str">
        <x:v>Tasa impuesto</x:v>
      </x:c>
      <x:c r="B9" s="68" t="str">
        <x:v>pais.tasa_impositiva</x:v>
      </x:c>
      <x:c r="C9" s="84" t="str">
        <x:v>decimal: 25.57% = 0.2557</x:v>
      </x:c>
      <x:c r="D9" s="84" t="str">
        <x:v>0 &lt;= t &lt;= 1</x:v>
      </x:c>
      <x:c r="E9" s="84"/>
      <x:c r="F9" s="84"/>
      <x:c r="G9" s="84"/>
      <x:c r="H9" s="84"/>
      <x:c r="I9" s="84"/>
      <x:c r="J9" s="68"/>
      <x:c r="K9" s="68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102" t="str">
        <x:v>CÁLCULO DEL WACC</x:v>
      </x:c>
      <x:c r="B12" s="102"/>
      <x:c r="C12" s="102"/>
      <x:c r="D12" s="10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22" t="str">
        <x:v>Concepto</x:v>
      </x:c>
      <x:c r="B13" s="22" t="str">
        <x:v>Valor</x:v>
      </x:c>
      <x:c r="C13" s="22" t="str">
        <x:v>Origen</x:v>
      </x:c>
      <x:c r="D13" s="22" t="str">
        <x:v>Estado</x:v>
      </x:c>
      <x:c r="E13" s="62"/>
      <x:c r="F13" s="62" t="str">
        <x:v>Rating input</x:v>
      </x:c>
      <x:c r="G13" s="62" t="str">
        <x:v>Valor</x:v>
      </x:c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selected_market</x:v>
      </x:c>
      <x:c r="B14" s="62" t="str">
        <x:f>'01_CONTROL'!B9</x:f>
        <x:v>US</x:v>
      </x:c>
      <x:c r="C14" s="62" t="str">
        <x:v>01_CONTROL</x:v>
      </x:c>
      <x:c r="D14" s="62" t="str"/>
      <x:c r="E14" s="62"/>
      <x:c r="F14" s="62" t="str">
        <x:v>interest_coverage</x:v>
      </x:c>
      <x:c r="G14" s="62" t="n">
        <x:f>'01_CONTROL'!B33</x:f>
        <x:v>0</x:v>
      </x:c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risk_free_rate</x:v>
      </x:c>
      <x:c r="B15" s="76" t="n">
        <x:f>'01_CONTROL'!B28</x:f>
        <x:v>0</x:v>
      </x:c>
      <x:c r="C15" s="62" t="str">
        <x:v>01_CONTROL</x:v>
      </x:c>
      <x:c r="D15" s="62" t="str"/>
      <x:c r="E15" s="62"/>
      <x:c r="F15" s="62" t="str">
        <x:v>synthetic_rating</x:v>
      </x:c>
      <x:c r="G15" s="62" t="n">
        <x:f>'01_CONTROL'!B34</x:f>
        <x:v>0</x:v>
      </x:c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equity_risk_premium</x:v>
      </x:c>
      <x:c r="B16" s="76" t="n">
        <x:f>'01_CONTROL'!B29</x:f>
        <x:v>0</x:v>
      </x:c>
      <x:c r="C16" s="62" t="str">
        <x:v>01_CONTROL</x:v>
      </x:c>
      <x:c r="D16" s="62" t="str"/>
      <x:c r="E16" s="62"/>
      <x:c r="F16" s="62" t="str">
        <x:v>credit_spread</x:v>
      </x:c>
      <x:c r="G16" s="62" t="n">
        <x:f>'01_CONTROL'!B35</x:f>
        <x:v>0</x:v>
      </x:c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country_risk_premium</x:v>
      </x:c>
      <x:c r="B17" s="76" t="n">
        <x:f>'01_CONTROL'!B30</x:f>
        <x:v>0</x:v>
      </x:c>
      <x:c r="C17" s="62" t="str">
        <x:v>01_CONTROL</x:v>
      </x:c>
      <x:c r="D17" s="62" t="str"/>
      <x:c r="E17" s="62"/>
      <x:c r="F17" s="116" t="str">
        <x:v>Ke = Rf + beta x ERP  |  Kd = Rf + spread  |  E = precio x acciones  |  D = deuda financiera con coste</x:v>
      </x:c>
      <x:c r="G17" s="116" t="str"/>
      <x:c r="H17" s="116" t="str"/>
      <x:c r="I17" s="116" t="str"/>
      <x:c r="J17" s="116" t="str"/>
      <x:c r="K17" s="116" t="str"/>
      <x:c r="L17" s="116" t="str"/>
      <x:c r="M17" s="116" t="str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beta</x:v>
      </x:c>
      <x:c r="B18" s="76" t="n">
        <x:f>'06_DRIVERS'!J11</x:f>
        <x:v>0.2</x:v>
      </x:c>
      <x:c r="C18" s="62" t="str">
        <x:v>06_DRIVERS / sector</x:v>
      </x:c>
      <x:c r="D18" s="62" t="str"/>
      <x:c r="E18" s="62"/>
      <x:c r="F18" s="112" t="str">
        <x:v>PARÁMETRO</x:v>
      </x:c>
      <x:c r="G18" s="112" t="str"/>
      <x:c r="H18" s="112" t="str">
        <x:v>CONSERVATIVE</x:v>
      </x:c>
      <x:c r="I18" s="112" t="str"/>
      <x:c r="J18" s="112" t="str">
        <x:v>BASE</x:v>
      </x:c>
      <x:c r="K18" s="112" t="str"/>
      <x:c r="L18" s="112" t="str">
        <x:v>OPTIMISTIC</x:v>
      </x:c>
      <x:c r="M18" s="112" t="str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size_premium</x:v>
      </x:c>
      <x:c r="B19" s="76" t="n">
        <x:f>'01_CONTROL'!B31</x:f>
        <x:v>0</x:v>
      </x:c>
      <x:c r="C19" s="62" t="str">
        <x:v>01_CONTROL</x:v>
      </x:c>
      <x:c r="D19" s="62" t="str"/>
      <x:c r="E19" s="62"/>
      <x:c r="F19" s="62" t="str">
        <x:v>Rf soberano 10 años</x:v>
      </x:c>
      <x:c r="G19" s="62"/>
      <x:c r="H19" s="76" t="n">
        <x:f>'01_CONTROL'!B28</x:f>
        <x:v>0</x:v>
      </x:c>
      <x:c r="I19" s="62"/>
      <x:c r="J19" s="76" t="n">
        <x:f>'01_CONTROL'!B28</x:f>
        <x:v>0</x:v>
      </x:c>
      <x:c r="K19" s="62"/>
      <x:c r="L19" s="76" t="n">
        <x:f>'01_CONTROL'!B28</x:f>
        <x:v>0</x:v>
      </x:c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cost_of_equity</x:v>
      </x:c>
      <x:c r="B20" s="76" t="n">
        <x:f>J20</x:f>
        <x:v>0</x:v>
      </x:c>
      <x:c r="C20" s="62" t="str">
        <x:v>CAPM ampliado</x:v>
      </x:c>
      <x:c r="D20" s="62" t="str"/>
      <x:c r="E20" s="62"/>
      <x:c r="F20" s="62" t="str">
        <x:v>Ke CAPM</x:v>
      </x:c>
      <x:c r="G20" s="62"/>
      <x:c r="H20" s="76" t="str">
        <x:f>IF(AND(ISNUMBER(H19),ISNUMBER(H21),ISNUMBER(H22),H21&gt;0,H22&gt;=0),H19+H21*H22,"")</x:f>
      </x:c>
      <x:c r="I20" s="62"/>
      <x:c r="J20" s="76" t="str">
        <x:f>IF(AND(ISNUMBER(J19),ISNUMBER(J21),ISNUMBER(J22),J21&gt;0,J22&gt;=0),J19+J21*J22,"")</x:f>
      </x:c>
      <x:c r="K20" s="62"/>
      <x:c r="L20" s="76" t="str">
        <x:f>IF(AND(ISNUMBER(L19),ISNUMBER(L21),ISNUMBER(L22),L21&gt;0,L22&gt;=0),L19+L21*L22,"")</x:f>
      </x:c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pre_tax_cost_of_debt</x:v>
      </x:c>
      <x:c r="B21" s="84" t="n">
        <x:f>J24</x:f>
        <x:v>0</x:v>
      </x:c>
      <x:c r="C21" s="62" t="str">
        <x:v>Rf + spread rating + CRP</x:v>
      </x:c>
      <x:c r="D21" s="62" t="str"/>
      <x:c r="E21" s="62"/>
      <x:c r="F21" s="62" t="str">
        <x:v>Beta sectorial</x:v>
      </x:c>
      <x:c r="G21" s="62"/>
      <x:c r="H21" s="118" t="n">
        <x:f>'01_CONTROL'!B37</x:f>
        <x:v>0</x:v>
      </x:c>
      <x:c r="I21" s="62"/>
      <x:c r="J21" s="118" t="n">
        <x:f>'01_CONTROL'!B37</x:f>
        <x:v>0</x:v>
      </x:c>
      <x:c r="K21" s="62"/>
      <x:c r="L21" s="118" t="n">
        <x:f>'01_CONTROL'!B37</x:f>
        <x:v>0</x:v>
      </x:c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 t="str">
        <x:v>tax_rate</x:v>
      </x:c>
      <x:c r="B22" s="76" t="n">
        <x:f>'01_CONTROL'!B32</x:f>
        <x:v>0</x:v>
      </x:c>
      <x:c r="C22" s="62" t="str">
        <x:v>01_CONTROL</x:v>
      </x:c>
      <x:c r="D22" s="62" t="str"/>
      <x:c r="E22" s="62"/>
      <x:c r="F22" s="62" t="str">
        <x:v>ERP total Damodaran</x:v>
      </x:c>
      <x:c r="G22" s="62"/>
      <x:c r="H22" s="76" t="n">
        <x:f>'01_CONTROL'!B29</x:f>
        <x:v>0</x:v>
      </x:c>
      <x:c r="I22" s="62"/>
      <x:c r="J22" s="76" t="n">
        <x:f>'01_CONTROL'!B29</x:f>
        <x:v>0</x:v>
      </x:c>
      <x:c r="K22" s="62"/>
      <x:c r="L22" s="76" t="n">
        <x:f>'01_CONTROL'!B29</x:f>
        <x:v>0</x:v>
      </x:c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 t="str">
        <x:v>market_value_equity</x:v>
      </x:c>
      <x:c r="B23" s="75" t="n">
        <x:f>'01_CONTROL'!B12*'01_CONTROL'!B13</x:f>
        <x:v>0</x:v>
      </x:c>
      <x:c r="C23" s="62" t="str">
        <x:v>precio x acciones</x:v>
      </x:c>
      <x:c r="D23" s="62" t="str"/>
      <x:c r="E23" s="62"/>
      <x:c r="F23" s="62" t="str">
        <x:v>Spread crédito escenario</x:v>
      </x:c>
      <x:c r="G23" s="62"/>
      <x:c r="H23" s="76" t="n">
        <x:f>'01_CONTROL'!B39</x:f>
        <x:v>0</x:v>
      </x:c>
      <x:c r="I23" s="62"/>
      <x:c r="J23" s="76" t="n">
        <x:f>'01_CONTROL'!B35</x:f>
        <x:v>0</x:v>
      </x:c>
      <x:c r="K23" s="62"/>
      <x:c r="L23" s="76" t="n">
        <x:f>'01_CONTROL'!B38</x:f>
        <x:v>0</x:v>
      </x:c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 t="str">
        <x:v>gross_debt</x:v>
      </x:c>
      <x:c r="B24" s="75" t="n">
        <x:f>'01_CONTROL'!B14</x:f>
        <x:v>0</x:v>
      </x:c>
      <x:c r="C24" s="62" t="str">
        <x:v>01_CONTROL</x:v>
      </x:c>
      <x:c r="D24" s="62" t="str"/>
      <x:c r="E24" s="62"/>
      <x:c r="F24" s="62" t="str">
        <x:v>Kd bruto = Rf + spread</x:v>
      </x:c>
      <x:c r="G24" s="62"/>
      <x:c r="H24" s="76" t="str">
        <x:f>IF(AND(ISNUMBER(H19),ISNUMBER(H23),H23&gt;=0),H19+H23,"")</x:f>
      </x:c>
      <x:c r="I24" s="62"/>
      <x:c r="J24" s="76" t="str">
        <x:f>IF(AND(ISNUMBER(J19),ISNUMBER(J23),J23&gt;=0),J19+J23,"")</x:f>
      </x:c>
      <x:c r="K24" s="62"/>
      <x:c r="L24" s="76" t="str">
        <x:f>IF(AND(ISNUMBER(L19),ISNUMBER(L23),L23&gt;=0),L19+L23,"")</x:f>
      </x:c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 t="str">
        <x:v>equity_weight</x:v>
      </x:c>
      <x:c r="B25" s="76" t="n">
        <x:f>J27</x:f>
        <x:v>0</x:v>
      </x:c>
      <x:c r="C25" s="62" t="str">
        <x:v>E/(D+E)</x:v>
      </x:c>
      <x:c r="D25" s="62" t="str"/>
      <x:c r="E25" s="62"/>
      <x:c r="F25" s="62" t="str">
        <x:v>Impuesto sociedades</x:v>
      </x:c>
      <x:c r="G25" s="62"/>
      <x:c r="H25" s="76" t="n">
        <x:f>'01_CONTROL'!B32</x:f>
        <x:v>0</x:v>
      </x:c>
      <x:c r="I25" s="62"/>
      <x:c r="J25" s="76" t="n">
        <x:f>'01_CONTROL'!B32</x:f>
        <x:v>0</x:v>
      </x:c>
      <x:c r="K25" s="62"/>
      <x:c r="L25" s="76" t="n">
        <x:f>'01_CONTROL'!B32</x:f>
        <x:v>0</x:v>
      </x:c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 t="str">
        <x:v>debt_weight</x:v>
      </x:c>
      <x:c r="B26" s="76" t="n">
        <x:f>J28</x:f>
        <x:v>0</x:v>
      </x:c>
      <x:c r="C26" s="62" t="str">
        <x:v>D/(D+E)</x:v>
      </x:c>
      <x:c r="D26" s="62" t="str"/>
      <x:c r="E26" s="62"/>
      <x:c r="F26" s="62" t="str">
        <x:v>Kd neto = Kd x (1 - T)</x:v>
      </x:c>
      <x:c r="G26" s="62"/>
      <x:c r="H26" s="76" t="str">
        <x:f>IF(AND(ISNUMBER(H24),ISNUMBER(H25),H25&gt;=0,H25&lt;=1),H24*(1-H25),"")</x:f>
      </x:c>
      <x:c r="I26" s="62"/>
      <x:c r="J26" s="76" t="str">
        <x:f>IF(AND(ISNUMBER(J24),ISNUMBER(J25),J25&gt;=0,J25&lt;=1),J24*(1-J25),"")</x:f>
      </x:c>
      <x:c r="K26" s="62"/>
      <x:c r="L26" s="76" t="str">
        <x:f>IF(AND(ISNUMBER(L24),ISNUMBER(L25),L25&gt;=0,L25&lt;=1),L24*(1-L25),"")</x:f>
      </x:c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 t="str">
        <x:v>wacc</x:v>
      </x:c>
      <x:c r="B27" s="76" t="n">
        <x:f>J35</x:f>
        <x:v>0</x:v>
      </x:c>
      <x:c r="C27" s="62" t="str">
        <x:v>ponderado</x:v>
      </x:c>
      <x:c r="D27" s="62" t="str"/>
      <x:c r="E27" s="62"/>
      <x:c r="F27" s="62" t="str">
        <x:v>Peso patrimonio (E / E+D)</x:v>
      </x:c>
      <x:c r="G27" s="62"/>
      <x:c r="H27" s="76" t="str">
        <x:f>IFERROR(IF(AND('01_CONTROL'!B12&gt;0,'01_CONTROL'!B13&gt;0,'01_CONTROL'!B14&gt;=0),('01_CONTROL'!B12*'01_CONTROL'!B13)/('01_CONTROL'!B12*'01_CONTROL'!B13+'01_CONTROL'!B14),""),"")</x:f>
      </x:c>
      <x:c r="I27" s="62"/>
      <x:c r="J27" s="76" t="str">
        <x:f>IFERROR(IF(AND('01_CONTROL'!B12&gt;0,'01_CONTROL'!B13&gt;0,'01_CONTROL'!B14&gt;=0),('01_CONTROL'!B12*'01_CONTROL'!B13)/('01_CONTROL'!B12*'01_CONTROL'!B13+'01_CONTROL'!B14),""),"")</x:f>
      </x:c>
      <x:c r="K27" s="62"/>
      <x:c r="L27" s="76" t="str">
        <x:f>IFERROR(IF(AND('01_CONTROL'!B12&gt;0,'01_CONTROL'!B13&gt;0,'01_CONTROL'!B14&gt;=0),('01_CONTROL'!B12*'01_CONTROL'!B13)/('01_CONTROL'!B12*'01_CONTROL'!B13+'01_CONTROL'!B14),""),"")</x:f>
      </x:c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 t="str">
        <x:v>terminal_growth_max</x:v>
      </x:c>
      <x:c r="B28" s="76" t="n">
        <x:f>'01_CONTROL'!B36</x:f>
        <x:v>0</x:v>
      </x:c>
      <x:c r="C28" s="62" t="str">
        <x:v>01_CONTROL</x:v>
      </x:c>
      <x:c r="D28" s="62" t="str"/>
      <x:c r="E28" s="62"/>
      <x:c r="F28" s="62" t="str">
        <x:v>Peso deuda (D / E+D)</x:v>
      </x:c>
      <x:c r="G28" s="62"/>
      <x:c r="H28" s="76" t="str">
        <x:f>IF(ISNUMBER(H27),1-H27,"")</x:f>
      </x:c>
      <x:c r="I28" s="62"/>
      <x:c r="J28" s="76" t="str">
        <x:f>IF(ISNUMBER(J27),1-J27,"")</x:f>
      </x:c>
      <x:c r="K28" s="62"/>
      <x:c r="L28" s="76" t="str">
        <x:f>IF(ISNUMBER(L27),1-L27,"")</x:f>
      </x:c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 t="str">
        <x:v>WACC FINANCIERO</x:v>
      </x:c>
      <x:c r="G29" s="62"/>
      <x:c r="H29" s="76" t="str">
        <x:f>IF(AND(ISNUMBER(H20),ISNUMBER(H26),ISNUMBER(H27),ISNUMBER(H28)),H20*H27+H26*H28,"")</x:f>
      </x:c>
      <x:c r="I29" s="62"/>
      <x:c r="J29" s="76" t="str">
        <x:f>IF(AND(ISNUMBER(J20),ISNUMBER(J26),ISNUMBER(J27),ISNUMBER(J28)),J20*J27+J26*J28,"")</x:f>
      </x:c>
      <x:c r="K29" s="62"/>
      <x:c r="L29" s="76" t="str">
        <x:f>IF(AND(ISNUMBER(L20),ISNUMBER(L26),ISNUMBER(L27),ISNUMBER(L28)),L20*L27+L26*L28,"")</x:f>
      </x:c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 t="str">
        <x:v>Prima iliquidez</x:v>
      </x:c>
      <x:c r="G30" s="62"/>
      <x:c r="H30" s="108"/>
      <x:c r="I30" s="62"/>
      <x:c r="J30" s="108"/>
      <x:c r="K30" s="62"/>
      <x:c r="L30" s="108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 t="str">
        <x:v>Prima tamaño</x:v>
      </x:c>
      <x:c r="G31" s="62"/>
      <x:c r="H31" s="108"/>
      <x:c r="I31" s="62"/>
      <x:c r="J31" s="108"/>
      <x:c r="K31" s="62"/>
      <x:c r="L31" s="108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 t="str">
        <x:v>Prima concentración clientes</x:v>
      </x:c>
      <x:c r="G32" s="62"/>
      <x:c r="H32" s="108"/>
      <x:c r="I32" s="62"/>
      <x:c r="J32" s="108"/>
      <x:c r="K32" s="62"/>
      <x:c r="L32" s="108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 t="str">
        <x:v>Otros ajustes justificados</x:v>
      </x:c>
      <x:c r="G33" s="62"/>
      <x:c r="H33" s="108"/>
      <x:c r="I33" s="62"/>
      <x:c r="J33" s="108"/>
      <x:c r="K33" s="62"/>
      <x:c r="L33" s="108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 t="str">
        <x:v>SUMA AJUSTES</x:v>
      </x:c>
      <x:c r="G34" s="62"/>
      <x:c r="H34" s="76" t="str">
        <x:f>IF(COUNT(H30:H33)=4,SUM(H30:H33),"")</x:f>
      </x:c>
      <x:c r="I34" s="62"/>
      <x:c r="J34" s="76" t="str">
        <x:f>IF(COUNT(J30:J33)=4,SUM(J30:J33),"")</x:f>
      </x:c>
      <x:c r="K34" s="62"/>
      <x:c r="L34" s="76" t="str">
        <x:f>IF(COUNT(L30:L33)=4,SUM(L30:L33),"")</x:f>
      </x:c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 t="str">
        <x:v>WACC AJUSTADO</x:v>
      </x:c>
      <x:c r="G35" s="62"/>
      <x:c r="H35" s="76" t="str">
        <x:f>IF(AND(ISNUMBER(H29),ISNUMBER(H34),H29+H34&gt;0),H29+H34,"")</x:f>
      </x:c>
      <x:c r="I35" s="62"/>
      <x:c r="J35" s="76" t="str">
        <x:f>IF(AND(ISNUMBER(J29),ISNUMBER(J34),J29+J34&gt;0),J29+J34,"")</x:f>
      </x:c>
      <x:c r="K35" s="62"/>
      <x:c r="L35" s="76" t="str">
        <x:f>IF(AND(ISNUMBER(L29),ISNUMBER(L34),L29+L34&gt;0),L29+L34,"")</x:f>
      </x:c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 t="str">
        <x:v>CONTROL E+D = 100%</x:v>
      </x:c>
      <x:c r="G36" s="62"/>
      <x:c r="H36" s="76" t="str">
        <x:f>IF(AND(ISNUMBER(H27),ISNUMBER(H28)),H27+H28,"")</x:f>
      </x:c>
      <x:c r="I36" s="62"/>
      <x:c r="J36" s="76" t="str">
        <x:f>IF(AND(ISNUMBER(J27),ISNUMBER(J28)),J27+J28,"")</x:f>
      </x:c>
      <x:c r="K36" s="62"/>
      <x:c r="L36" s="76" t="str">
        <x:f>IF(AND(ISNUMBER(L27),ISNUMBER(L28)),L27+L28,"")</x:f>
      </x:c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 t="str">
        <x:v>Conservador: riesgo crediticio mayor</x:v>
      </x:c>
      <x:c r="I37" s="62"/>
      <x:c r="J37" s="62" t="str">
        <x:v>Base: condiciones esperadas</x:v>
      </x:c>
      <x:c r="K37" s="62"/>
      <x:c r="L37" s="62" t="str">
        <x:v>Optimista: riesgo crediticio menor</x:v>
      </x:c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 t="str">
        <x:v>RIESGO PAÍS | ERP TOTAL de Damodaran incorpora CRP. No sumar CRP otra vez a Ke/Kd.</x:v>
      </x:c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 t="str">
        <x:v>AJUSTES | Deben tener fuente y regla trazable; si falta información, revisión y bloqueo de aprobación.</x:v>
      </x:c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 t="str">
        <x:v>UNIDADES | MySQL % ÷ 100 antes de escribir el Excel (4,46 =&gt; 0,0446).</x:v>
      </x:c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 t="str">
        <x:v>REPRODUCIBILIDAD | Persistir en valuation_run_parametros cada valor de entrada y WACC por escenario.</x:v>
      </x:c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 t="str">
        <x:v>FINANCIERAS | BANK/INSURANCE/REIT requieren método sectorial específico; no aprobar como DCF FCFF.</x:v>
      </x:c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 t="str">
        <x:v>FUENTE AJUSTES</x:v>
      </x:c>
      <x:c r="G43" s="62" t="str"/>
      <x:c r="H43" s="62" t="str">
        <x:v>Automático / auditado</x:v>
      </x:c>
      <x:c r="I43" s="62" t="str"/>
      <x:c r="J43" s="62" t="str">
        <x:v>Automático / auditado</x:v>
      </x:c>
      <x:c r="K43" s="62" t="str"/>
      <x:c r="L43" s="62" t="str">
        <x:v>Automático / auditado</x:v>
      </x:c>
      <x:c r="M43" s="62" t="str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 t="str">
        <x:v>ESTADO</x:v>
      </x:c>
      <x:c r="G45" s="62" t="str"/>
      <x:c r="H45" s="62" t="str">
        <x:v>Revisar datos</x:v>
      </x:c>
      <x:c r="I45" s="62" t="str"/>
      <x:c r="J45" s="62" t="str">
        <x:v>Revisar datos</x:v>
      </x:c>
      <x:c r="K45" s="62" t="str"/>
      <x:c r="L45" s="62" t="str">
        <x:v>Revisar datos</x:v>
      </x:c>
      <x:c r="M45" s="62" t="str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 t="str">
        <x:v>El WACC ajustado SOLO es válido con los 12 ajustes de escenarios aportados</x:v>
      </x:c>
      <x:c r="G46" s="62" t="str"/>
      <x:c r="H46" s="62" t="str"/>
      <x:c r="I46" s="62" t="str"/>
      <x:c r="J46" s="62" t="str"/>
      <x:c r="K46" s="62" t="str"/>
      <x:c r="L46" s="62" t="str"/>
      <x:c r="M46" s="62" t="str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 t="str">
        <x:v>Si una prima no aplica: registrar 0 con razón y fuente explícita</x:v>
      </x:c>
      <x:c r="G47" s="62" t="str"/>
      <x:c r="H47" s="62" t="str"/>
      <x:c r="I47" s="62" t="str"/>
      <x:c r="J47" s="62" t="str"/>
      <x:c r="K47" s="62" t="str"/>
      <x:c r="L47" s="62" t="str"/>
      <x:c r="M47" s="62" t="str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 t="str">
        <x:v>Si falta beta, deuda, impuesto o spreads: bloquear aprobación</x:v>
      </x:c>
      <x:c r="G48" s="62" t="str"/>
      <x:c r="H48" s="62" t="str"/>
      <x:c r="I48" s="62" t="str"/>
      <x:c r="J48" s="62" t="str"/>
      <x:c r="K48" s="62" t="str"/>
      <x:c r="L48" s="62" t="str"/>
      <x:c r="M48" s="62" t="str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K1"/>
    <x:mergeCell ref="A12:D1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9" max="9" width="2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7" max="17" width="2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1" ht="28" customHeight="1">
      <x:c r="A1" s="5" t="str">
        <x:v>PROYECCIONES A 5 AÑOS — TRES ESCENARIOS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90" t="str">
        <x:v>CONSERVADOR</x:v>
      </x:c>
      <x:c r="B3" s="90"/>
      <x:c r="C3" s="90"/>
      <x:c r="D3" s="90"/>
      <x:c r="E3" s="90"/>
      <x:c r="F3" s="90"/>
      <x:c r="G3" s="90"/>
      <x:c r="H3" s="62"/>
      <x:c r="I3" s="90" t="str">
        <x:v>BASE</x:v>
      </x:c>
      <x:c r="J3" s="90"/>
      <x:c r="K3" s="90"/>
      <x:c r="L3" s="90"/>
      <x:c r="M3" s="90"/>
      <x:c r="N3" s="90"/>
      <x:c r="O3" s="90"/>
      <x:c r="P3" s="62"/>
      <x:c r="Q3" s="90" t="str">
        <x:v>OPTIMISTA</x:v>
      </x:c>
      <x:c r="R3" s="90"/>
      <x:c r="S3" s="90"/>
      <x:c r="T3" s="90"/>
      <x:c r="U3" s="90"/>
      <x:c r="V3" s="90"/>
      <x:c r="W3" s="90"/>
      <x:c r="X3" s="62"/>
      <x:c r="Y3" s="62"/>
      <x:c r="Z3" s="62"/>
    </x:row>
    <x:row r="4">
      <x:c r="A4" s="22" t="str">
        <x:v>Partida</x:v>
      </x:c>
      <x:c r="B4" s="22" t="str">
        <x:v>FY0</x:v>
      </x:c>
      <x:c r="C4" s="22" t="str">
        <x:v>A1</x:v>
      </x:c>
      <x:c r="D4" s="22" t="str">
        <x:v>A2</x:v>
      </x:c>
      <x:c r="E4" s="22" t="str">
        <x:v>A3</x:v>
      </x:c>
      <x:c r="F4" s="22" t="str">
        <x:v>A4</x:v>
      </x:c>
      <x:c r="G4" s="22" t="str">
        <x:v>A5</x:v>
      </x:c>
      <x:c r="H4" s="62"/>
      <x:c r="I4" s="22" t="str">
        <x:v>Partida</x:v>
      </x:c>
      <x:c r="J4" s="22" t="str">
        <x:v>FY0</x:v>
      </x:c>
      <x:c r="K4" s="22" t="str">
        <x:v>A1</x:v>
      </x:c>
      <x:c r="L4" s="22" t="str">
        <x:v>A2</x:v>
      </x:c>
      <x:c r="M4" s="22" t="str">
        <x:v>A3</x:v>
      </x:c>
      <x:c r="N4" s="22" t="str">
        <x:v>A4</x:v>
      </x:c>
      <x:c r="O4" s="22" t="str">
        <x:v>A5</x:v>
      </x:c>
      <x:c r="P4" s="62"/>
      <x:c r="Q4" s="22" t="str">
        <x:v>Partida</x:v>
      </x:c>
      <x:c r="R4" s="22" t="str">
        <x:v>FY0</x:v>
      </x:c>
      <x:c r="S4" s="22" t="str">
        <x:v>A1</x:v>
      </x:c>
      <x:c r="T4" s="22" t="str">
        <x:v>A2</x:v>
      </x:c>
      <x:c r="U4" s="22" t="str">
        <x:v>A3</x:v>
      </x:c>
      <x:c r="V4" s="22" t="str">
        <x:v>A4</x:v>
      </x:c>
      <x:c r="W4" s="22" t="str">
        <x:v>A5</x:v>
      </x:c>
      <x:c r="X4" s="62"/>
      <x:c r="Y4" s="62"/>
      <x:c r="Z4" s="62"/>
    </x:row>
    <x:row r="5">
      <x:c r="A5" s="62" t="str">
        <x:v>Revenue</x:v>
      </x:c>
      <x:c r="B5" s="75" t="n">
        <x:f>'03_NORMALIZACION'!E4</x:f>
        <x:v>0</x:v>
      </x:c>
      <x:c r="C5" s="75" t="n">
        <x:f>B5*(1+C6)</x:f>
        <x:v>0</x:v>
      </x:c>
      <x:c r="D5" s="75" t="n">
        <x:f>C5*(1+D6)</x:f>
        <x:v>0</x:v>
      </x:c>
      <x:c r="E5" s="75" t="n">
        <x:f>D5*(1+E6)</x:f>
        <x:v>0</x:v>
      </x:c>
      <x:c r="F5" s="75" t="n">
        <x:f>E5*(1+F6)</x:f>
        <x:v>0</x:v>
      </x:c>
      <x:c r="G5" s="75" t="n">
        <x:f>F5*(1+G6)</x:f>
        <x:v>0</x:v>
      </x:c>
      <x:c r="H5" s="62"/>
      <x:c r="I5" s="62" t="str">
        <x:v>Revenue</x:v>
      </x:c>
      <x:c r="J5" s="75" t="n">
        <x:f>'03_NORMALIZACION'!E4</x:f>
        <x:v>0</x:v>
      </x:c>
      <x:c r="K5" s="75" t="n">
        <x:f>J5*(1+K6)</x:f>
        <x:v>0</x:v>
      </x:c>
      <x:c r="L5" s="75" t="n">
        <x:f>K5*(1+L6)</x:f>
        <x:v>0</x:v>
      </x:c>
      <x:c r="M5" s="75" t="n">
        <x:f>L5*(1+M6)</x:f>
        <x:v>0</x:v>
      </x:c>
      <x:c r="N5" s="75" t="n">
        <x:f>M5*(1+N6)</x:f>
        <x:v>0</x:v>
      </x:c>
      <x:c r="O5" s="75" t="n">
        <x:f>N5*(1+O6)</x:f>
        <x:v>0</x:v>
      </x:c>
      <x:c r="P5" s="62"/>
      <x:c r="Q5" s="62" t="str">
        <x:v>Revenue</x:v>
      </x:c>
      <x:c r="R5" s="75" t="n">
        <x:f>'03_NORMALIZACION'!E4</x:f>
        <x:v>0</x:v>
      </x:c>
      <x:c r="S5" s="75" t="n">
        <x:f>R5*(1+S6)</x:f>
        <x:v>0</x:v>
      </x:c>
      <x:c r="T5" s="75" t="n">
        <x:f>S5*(1+T6)</x:f>
        <x:v>0</x:v>
      </x:c>
      <x:c r="U5" s="75" t="n">
        <x:f>T5*(1+U6)</x:f>
        <x:v>0</x:v>
      </x:c>
      <x:c r="V5" s="75" t="n">
        <x:f>U5*(1+V6)</x:f>
        <x:v>0</x:v>
      </x:c>
      <x:c r="W5" s="75" t="n">
        <x:f>V5*(1+W6)</x:f>
        <x:v>0</x:v>
      </x:c>
      <x:c r="X5" s="62"/>
      <x:c r="Y5" s="62"/>
      <x:c r="Z5" s="62"/>
    </x:row>
    <x:row r="6">
      <x:c r="A6" s="62" t="str">
        <x:v>Growth</x:v>
      </x:c>
      <x:c r="B6" s="75"/>
      <x:c r="C6" s="76" t="n">
        <x:f>MAX(-0.20,MIN(0.35,'06_DRIVERS'!$J$4*1+-0.035))</x:f>
        <x:v>-0.0030000000000000027</x:v>
      </x:c>
      <x:c r="D6" s="76" t="n">
        <x:f>MAX(-0.20,MIN(0.35,'06_DRIVERS'!$J$4*0.9+-0.035))</x:f>
        <x:v>-0.006200000000000001</x:v>
      </x:c>
      <x:c r="E6" s="76" t="n">
        <x:f>MAX(-0.20,MIN(0.35,'06_DRIVERS'!$J$4*0.8+-0.035))</x:f>
        <x:v>-0.009400000000000002</x:v>
      </x:c>
      <x:c r="F6" s="76" t="n">
        <x:f>MAX(-0.20,MIN(0.35,'06_DRIVERS'!$J$4*0.7+-0.035))</x:f>
        <x:v>-0.012600000000000004</x:v>
      </x:c>
      <x:c r="G6" s="76" t="n">
        <x:f>MAX(-0.20,MIN(0.35,'06_DRIVERS'!$J$4*0.6+-0.035))</x:f>
        <x:v>-0.015800000000000005</x:v>
      </x:c>
      <x:c r="H6" s="62"/>
      <x:c r="I6" s="62" t="str">
        <x:v>Growth</x:v>
      </x:c>
      <x:c r="J6" s="75"/>
      <x:c r="K6" s="76" t="n">
        <x:f>MAX(-0.20,MIN(0.35,'06_DRIVERS'!$J$4*1+0))</x:f>
        <x:v>0.032</x:v>
      </x:c>
      <x:c r="L6" s="76" t="n">
        <x:f>MAX(-0.20,MIN(0.35,'06_DRIVERS'!$J$4*0.9+0))</x:f>
        <x:v>0.028800000000000003</x:v>
      </x:c>
      <x:c r="M6" s="76" t="n">
        <x:f>MAX(-0.20,MIN(0.35,'06_DRIVERS'!$J$4*0.8+0))</x:f>
        <x:v>0.0256</x:v>
      </x:c>
      <x:c r="N6" s="76" t="n">
        <x:f>MAX(-0.20,MIN(0.35,'06_DRIVERS'!$J$4*0.7+0))</x:f>
        <x:v>0.0224</x:v>
      </x:c>
      <x:c r="O6" s="76" t="n">
        <x:f>MAX(-0.20,MIN(0.35,'06_DRIVERS'!$J$4*0.6+0))</x:f>
        <x:v>0.0192</x:v>
      </x:c>
      <x:c r="P6" s="62"/>
      <x:c r="Q6" s="62" t="str">
        <x:v>Growth</x:v>
      </x:c>
      <x:c r="R6" s="75"/>
      <x:c r="S6" s="76" t="n">
        <x:f>MAX(-0.20,MIN(0.35,'06_DRIVERS'!$J$4*1+0.035))</x:f>
        <x:v>0.067</x:v>
      </x:c>
      <x:c r="T6" s="76" t="n">
        <x:f>MAX(-0.20,MIN(0.35,'06_DRIVERS'!$J$4*0.9+0.035))</x:f>
        <x:v>0.06380000000000001</x:v>
      </x:c>
      <x:c r="U6" s="76" t="n">
        <x:f>MAX(-0.20,MIN(0.35,'06_DRIVERS'!$J$4*0.8+0.035))</x:f>
        <x:v>0.0606</x:v>
      </x:c>
      <x:c r="V6" s="76" t="n">
        <x:f>MAX(-0.20,MIN(0.35,'06_DRIVERS'!$J$4*0.7+0.035))</x:f>
        <x:v>0.05740000000000001</x:v>
      </x:c>
      <x:c r="W6" s="76" t="n">
        <x:f>MAX(-0.20,MIN(0.35,'06_DRIVERS'!$J$4*0.6+0.035))</x:f>
        <x:v>0.0542</x:v>
      </x:c>
      <x:c r="X6" s="62"/>
      <x:c r="Y6" s="62"/>
      <x:c r="Z6" s="62"/>
    </x:row>
    <x:row r="7">
      <x:c r="A7" s="62" t="str">
        <x:v>EBIT margin</x:v>
      </x:c>
      <x:c r="B7" s="75"/>
      <x:c r="C7" s="76" t="n">
        <x:f>MAX(-0.30,MIN(0.50,'03_NORMALIZACION'!$E$9+('06_DRIVERS'!$J$5-'03_NORMALIZACION'!$E$9)*0.2+-0.025))</x:f>
        <x:v>0.0010000000000000009</x:v>
      </x:c>
      <x:c r="D7" s="76" t="n">
        <x:f>MAX(-0.30,MIN(0.50,'03_NORMALIZACION'!$E$9+('06_DRIVERS'!$J$5-'03_NORMALIZACION'!$E$9)*0.4+-0.025))</x:f>
        <x:v>0.027000000000000003</x:v>
      </x:c>
      <x:c r="E7" s="76" t="n">
        <x:f>MAX(-0.30,MIN(0.50,'03_NORMALIZACION'!$E$9+('06_DRIVERS'!$J$5-'03_NORMALIZACION'!$E$9)*0.6+-0.025))</x:f>
        <x:v>0.053</x:v>
      </x:c>
      <x:c r="F7" s="76" t="n">
        <x:f>MAX(-0.30,MIN(0.50,'03_NORMALIZACION'!$E$9+('06_DRIVERS'!$J$5-'03_NORMALIZACION'!$E$9)*0.8+-0.025))</x:f>
        <x:v>0.07900000000000001</x:v>
      </x:c>
      <x:c r="G7" s="76" t="n">
        <x:f>MAX(-0.30,MIN(0.50,'03_NORMALIZACION'!$E$9+('06_DRIVERS'!$J$5-'03_NORMALIZACION'!$E$9)*1.0+-0.025))</x:f>
        <x:v>0.10500000000000001</x:v>
      </x:c>
      <x:c r="H7" s="62"/>
      <x:c r="I7" s="62" t="str">
        <x:v>EBIT margin</x:v>
      </x:c>
      <x:c r="J7" s="75"/>
      <x:c r="K7" s="76" t="n">
        <x:f>MAX(-0.30,MIN(0.50,'03_NORMALIZACION'!$E$9+('06_DRIVERS'!$J$5-'03_NORMALIZACION'!$E$9)*0.2+0))</x:f>
        <x:v>0.026000000000000002</x:v>
      </x:c>
      <x:c r="L7" s="76" t="n">
        <x:f>MAX(-0.30,MIN(0.50,'03_NORMALIZACION'!$E$9+('06_DRIVERS'!$J$5-'03_NORMALIZACION'!$E$9)*0.4+0))</x:f>
        <x:v>0.052000000000000005</x:v>
      </x:c>
      <x:c r="M7" s="76" t="n">
        <x:f>MAX(-0.30,MIN(0.50,'03_NORMALIZACION'!$E$9+('06_DRIVERS'!$J$5-'03_NORMALIZACION'!$E$9)*0.6+0))</x:f>
        <x:v>0.078</x:v>
      </x:c>
      <x:c r="N7" s="76" t="n">
        <x:f>MAX(-0.30,MIN(0.50,'03_NORMALIZACION'!$E$9+('06_DRIVERS'!$J$5-'03_NORMALIZACION'!$E$9)*0.8+0))</x:f>
        <x:v>0.10400000000000001</x:v>
      </x:c>
      <x:c r="O7" s="76" t="n">
        <x:f>MAX(-0.30,MIN(0.50,'03_NORMALIZACION'!$E$9+('06_DRIVERS'!$J$5-'03_NORMALIZACION'!$E$9)*1.0+0))</x:f>
        <x:v>0.13</x:v>
      </x:c>
      <x:c r="P7" s="62"/>
      <x:c r="Q7" s="62" t="str">
        <x:v>EBIT margin</x:v>
      </x:c>
      <x:c r="R7" s="75"/>
      <x:c r="S7" s="76" t="n">
        <x:f>MAX(-0.30,MIN(0.50,'03_NORMALIZACION'!$E$9+('06_DRIVERS'!$J$5-'03_NORMALIZACION'!$E$9)*0.2+0.025))</x:f>
        <x:v>0.051000000000000004</x:v>
      </x:c>
      <x:c r="T7" s="76" t="n">
        <x:f>MAX(-0.30,MIN(0.50,'03_NORMALIZACION'!$E$9+('06_DRIVERS'!$J$5-'03_NORMALIZACION'!$E$9)*0.4+0.025))</x:f>
        <x:v>0.07700000000000001</x:v>
      </x:c>
      <x:c r="U7" s="76" t="n">
        <x:f>MAX(-0.30,MIN(0.50,'03_NORMALIZACION'!$E$9+('06_DRIVERS'!$J$5-'03_NORMALIZACION'!$E$9)*0.6+0.025))</x:f>
        <x:v>0.10300000000000001</x:v>
      </x:c>
      <x:c r="V7" s="76" t="n">
        <x:f>MAX(-0.30,MIN(0.50,'03_NORMALIZACION'!$E$9+('06_DRIVERS'!$J$5-'03_NORMALIZACION'!$E$9)*0.8+0.025))</x:f>
        <x:v>0.129</x:v>
      </x:c>
      <x:c r="W7" s="76" t="n">
        <x:f>MAX(-0.30,MIN(0.50,'03_NORMALIZACION'!$E$9+('06_DRIVERS'!$J$5-'03_NORMALIZACION'!$E$9)*1.0+0.025))</x:f>
        <x:v>0.155</x:v>
      </x:c>
      <x:c r="X7" s="62"/>
      <x:c r="Y7" s="62"/>
      <x:c r="Z7" s="62"/>
    </x:row>
    <x:row r="8">
      <x:c r="A8" s="62" t="str">
        <x:v>EBIT</x:v>
      </x:c>
      <x:c r="B8" s="75"/>
      <x:c r="C8" s="75" t="n">
        <x:f>C5*C7</x:f>
        <x:v>0</x:v>
      </x:c>
      <x:c r="D8" s="75" t="n">
        <x:f>D5*D7</x:f>
        <x:v>0</x:v>
      </x:c>
      <x:c r="E8" s="75" t="n">
        <x:f>E5*E7</x:f>
        <x:v>0</x:v>
      </x:c>
      <x:c r="F8" s="75" t="n">
        <x:f>F5*F7</x:f>
        <x:v>0</x:v>
      </x:c>
      <x:c r="G8" s="75" t="n">
        <x:f>G5*G7</x:f>
        <x:v>0</x:v>
      </x:c>
      <x:c r="H8" s="62"/>
      <x:c r="I8" s="62" t="str">
        <x:v>EBIT</x:v>
      </x:c>
      <x:c r="J8" s="75"/>
      <x:c r="K8" s="75" t="n">
        <x:f>K5*K7</x:f>
        <x:v>0</x:v>
      </x:c>
      <x:c r="L8" s="75" t="n">
        <x:f>L5*L7</x:f>
        <x:v>0</x:v>
      </x:c>
      <x:c r="M8" s="75" t="n">
        <x:f>M5*M7</x:f>
        <x:v>0</x:v>
      </x:c>
      <x:c r="N8" s="75" t="n">
        <x:f>N5*N7</x:f>
        <x:v>0</x:v>
      </x:c>
      <x:c r="O8" s="75" t="n">
        <x:f>O5*O7</x:f>
        <x:v>0</x:v>
      </x:c>
      <x:c r="P8" s="62"/>
      <x:c r="Q8" s="62" t="str">
        <x:v>EBIT</x:v>
      </x:c>
      <x:c r="R8" s="75"/>
      <x:c r="S8" s="75" t="n">
        <x:f>S5*S7</x:f>
        <x:v>0</x:v>
      </x:c>
      <x:c r="T8" s="75" t="n">
        <x:f>T5*T7</x:f>
        <x:v>0</x:v>
      </x:c>
      <x:c r="U8" s="75" t="n">
        <x:f>U5*U7</x:f>
        <x:v>0</x:v>
      </x:c>
      <x:c r="V8" s="75" t="n">
        <x:f>V5*V7</x:f>
        <x:v>0</x:v>
      </x:c>
      <x:c r="W8" s="75" t="n">
        <x:f>W5*W7</x:f>
        <x:v>0</x:v>
      </x:c>
      <x:c r="X8" s="62"/>
      <x:c r="Y8" s="62"/>
      <x:c r="Z8" s="62"/>
    </x:row>
    <x:row r="9">
      <x:c r="A9" s="62" t="str">
        <x:v>Tax rate</x:v>
      </x:c>
      <x:c r="B9" s="75"/>
      <x:c r="C9" s="76" t="n">
        <x:f>'06_DRIVERS'!$J$6</x:f>
        <x:v>0</x:v>
      </x:c>
      <x:c r="D9" s="76" t="n">
        <x:f>'06_DRIVERS'!$J$6</x:f>
        <x:v>0</x:v>
      </x:c>
      <x:c r="E9" s="76" t="n">
        <x:f>'06_DRIVERS'!$J$6</x:f>
        <x:v>0</x:v>
      </x:c>
      <x:c r="F9" s="76" t="n">
        <x:f>'06_DRIVERS'!$J$6</x:f>
        <x:v>0</x:v>
      </x:c>
      <x:c r="G9" s="76" t="n">
        <x:f>'06_DRIVERS'!$J$6</x:f>
        <x:v>0</x:v>
      </x:c>
      <x:c r="H9" s="62"/>
      <x:c r="I9" s="62" t="str">
        <x:v>Tax rate</x:v>
      </x:c>
      <x:c r="J9" s="75"/>
      <x:c r="K9" s="76" t="n">
        <x:f>'06_DRIVERS'!$J$6</x:f>
        <x:v>0</x:v>
      </x:c>
      <x:c r="L9" s="76" t="n">
        <x:f>'06_DRIVERS'!$J$6</x:f>
        <x:v>0</x:v>
      </x:c>
      <x:c r="M9" s="76" t="n">
        <x:f>'06_DRIVERS'!$J$6</x:f>
        <x:v>0</x:v>
      </x:c>
      <x:c r="N9" s="76" t="n">
        <x:f>'06_DRIVERS'!$J$6</x:f>
        <x:v>0</x:v>
      </x:c>
      <x:c r="O9" s="76" t="n">
        <x:f>'06_DRIVERS'!$J$6</x:f>
        <x:v>0</x:v>
      </x:c>
      <x:c r="P9" s="62"/>
      <x:c r="Q9" s="62" t="str">
        <x:v>Tax rate</x:v>
      </x:c>
      <x:c r="R9" s="75"/>
      <x:c r="S9" s="76" t="n">
        <x:f>'06_DRIVERS'!$J$6</x:f>
        <x:v>0</x:v>
      </x:c>
      <x:c r="T9" s="76" t="n">
        <x:f>'06_DRIVERS'!$J$6</x:f>
        <x:v>0</x:v>
      </x:c>
      <x:c r="U9" s="76" t="n">
        <x:f>'06_DRIVERS'!$J$6</x:f>
        <x:v>0</x:v>
      </x:c>
      <x:c r="V9" s="76" t="n">
        <x:f>'06_DRIVERS'!$J$6</x:f>
        <x:v>0</x:v>
      </x:c>
      <x:c r="W9" s="76" t="n">
        <x:f>'06_DRIVERS'!$J$6</x:f>
        <x:v>0</x:v>
      </x:c>
      <x:c r="X9" s="62"/>
      <x:c r="Y9" s="62"/>
      <x:c r="Z9" s="62"/>
    </x:row>
    <x:row r="10">
      <x:c r="A10" s="62" t="str">
        <x:v>NOPAT</x:v>
      </x:c>
      <x:c r="B10" s="75"/>
      <x:c r="C10" s="75" t="n">
        <x:f>C8*(1-C9)</x:f>
        <x:v>0</x:v>
      </x:c>
      <x:c r="D10" s="75" t="n">
        <x:f>D8*(1-D9)</x:f>
        <x:v>0</x:v>
      </x:c>
      <x:c r="E10" s="75" t="n">
        <x:f>E8*(1-E9)</x:f>
        <x:v>0</x:v>
      </x:c>
      <x:c r="F10" s="75" t="n">
        <x:f>F8*(1-F9)</x:f>
        <x:v>0</x:v>
      </x:c>
      <x:c r="G10" s="75" t="n">
        <x:f>G8*(1-G9)</x:f>
        <x:v>0</x:v>
      </x:c>
      <x:c r="H10" s="62"/>
      <x:c r="I10" s="62" t="str">
        <x:v>NOPAT</x:v>
      </x:c>
      <x:c r="J10" s="75"/>
      <x:c r="K10" s="75" t="n">
        <x:f>K8*(1-K9)</x:f>
        <x:v>0</x:v>
      </x:c>
      <x:c r="L10" s="75" t="n">
        <x:f>L8*(1-L9)</x:f>
        <x:v>0</x:v>
      </x:c>
      <x:c r="M10" s="75" t="n">
        <x:f>M8*(1-M9)</x:f>
        <x:v>0</x:v>
      </x:c>
      <x:c r="N10" s="75" t="n">
        <x:f>N8*(1-N9)</x:f>
        <x:v>0</x:v>
      </x:c>
      <x:c r="O10" s="75" t="n">
        <x:f>O8*(1-O9)</x:f>
        <x:v>0</x:v>
      </x:c>
      <x:c r="P10" s="62"/>
      <x:c r="Q10" s="62" t="str">
        <x:v>NOPAT</x:v>
      </x:c>
      <x:c r="R10" s="75"/>
      <x:c r="S10" s="75" t="n">
        <x:f>S8*(1-S9)</x:f>
        <x:v>0</x:v>
      </x:c>
      <x:c r="T10" s="75" t="n">
        <x:f>T8*(1-T9)</x:f>
        <x:v>0</x:v>
      </x:c>
      <x:c r="U10" s="75" t="n">
        <x:f>U8*(1-U9)</x:f>
        <x:v>0</x:v>
      </x:c>
      <x:c r="V10" s="75" t="n">
        <x:f>V8*(1-V9)</x:f>
        <x:v>0</x:v>
      </x:c>
      <x:c r="W10" s="75" t="n">
        <x:f>W8*(1-W9)</x:f>
        <x:v>0</x:v>
      </x:c>
      <x:c r="X10" s="62"/>
      <x:c r="Y10" s="62"/>
      <x:c r="Z10" s="62"/>
    </x:row>
    <x:row r="11">
      <x:c r="A11" s="62" t="str">
        <x:v>D&amp;A</x:v>
      </x:c>
      <x:c r="B11" s="75"/>
      <x:c r="C11" s="75" t="n">
        <x:f>C5*'06_DRIVERS'!$J$7</x:f>
        <x:v>0</x:v>
      </x:c>
      <x:c r="D11" s="75" t="n">
        <x:f>D5*'06_DRIVERS'!$J$7</x:f>
        <x:v>0</x:v>
      </x:c>
      <x:c r="E11" s="75" t="n">
        <x:f>E5*'06_DRIVERS'!$J$7</x:f>
        <x:v>0</x:v>
      </x:c>
      <x:c r="F11" s="75" t="n">
        <x:f>F5*'06_DRIVERS'!$J$7</x:f>
        <x:v>0</x:v>
      </x:c>
      <x:c r="G11" s="75" t="n">
        <x:f>G5*'06_DRIVERS'!$J$7</x:f>
        <x:v>0</x:v>
      </x:c>
      <x:c r="H11" s="62"/>
      <x:c r="I11" s="62" t="str">
        <x:v>D&amp;A</x:v>
      </x:c>
      <x:c r="J11" s="75"/>
      <x:c r="K11" s="75" t="n">
        <x:f>K5*'06_DRIVERS'!$J$7</x:f>
        <x:v>0</x:v>
      </x:c>
      <x:c r="L11" s="75" t="n">
        <x:f>L5*'06_DRIVERS'!$J$7</x:f>
        <x:v>0</x:v>
      </x:c>
      <x:c r="M11" s="75" t="n">
        <x:f>M5*'06_DRIVERS'!$J$7</x:f>
        <x:v>0</x:v>
      </x:c>
      <x:c r="N11" s="75" t="n">
        <x:f>N5*'06_DRIVERS'!$J$7</x:f>
        <x:v>0</x:v>
      </x:c>
      <x:c r="O11" s="75" t="n">
        <x:f>O5*'06_DRIVERS'!$J$7</x:f>
        <x:v>0</x:v>
      </x:c>
      <x:c r="P11" s="62"/>
      <x:c r="Q11" s="62" t="str">
        <x:v>D&amp;A</x:v>
      </x:c>
      <x:c r="R11" s="75"/>
      <x:c r="S11" s="75" t="n">
        <x:f>S5*'06_DRIVERS'!$J$7</x:f>
        <x:v>0</x:v>
      </x:c>
      <x:c r="T11" s="75" t="n">
        <x:f>T5*'06_DRIVERS'!$J$7</x:f>
        <x:v>0</x:v>
      </x:c>
      <x:c r="U11" s="75" t="n">
        <x:f>U5*'06_DRIVERS'!$J$7</x:f>
        <x:v>0</x:v>
      </x:c>
      <x:c r="V11" s="75" t="n">
        <x:f>V5*'06_DRIVERS'!$J$7</x:f>
        <x:v>0</x:v>
      </x:c>
      <x:c r="W11" s="75" t="n">
        <x:f>W5*'06_DRIVERS'!$J$7</x:f>
        <x:v>0</x:v>
      </x:c>
      <x:c r="X11" s="62"/>
      <x:c r="Y11" s="62"/>
      <x:c r="Z11" s="62"/>
    </x:row>
    <x:row r="12">
      <x:c r="A12" s="62" t="str">
        <x:v>CAPEX</x:v>
      </x:c>
      <x:c r="B12" s="75"/>
      <x:c r="C12" s="75" t="n">
        <x:f>C5*'06_DRIVERS'!$J$8</x:f>
        <x:v>0</x:v>
      </x:c>
      <x:c r="D12" s="75" t="n">
        <x:f>D5*'06_DRIVERS'!$J$8</x:f>
        <x:v>0</x:v>
      </x:c>
      <x:c r="E12" s="75" t="n">
        <x:f>E5*'06_DRIVERS'!$J$8</x:f>
        <x:v>0</x:v>
      </x:c>
      <x:c r="F12" s="75" t="n">
        <x:f>F5*'06_DRIVERS'!$J$8</x:f>
        <x:v>0</x:v>
      </x:c>
      <x:c r="G12" s="75" t="n">
        <x:f>G5*'06_DRIVERS'!$J$8</x:f>
        <x:v>0</x:v>
      </x:c>
      <x:c r="H12" s="62"/>
      <x:c r="I12" s="62" t="str">
        <x:v>CAPEX</x:v>
      </x:c>
      <x:c r="J12" s="75"/>
      <x:c r="K12" s="75" t="n">
        <x:f>K5*'06_DRIVERS'!$J$8</x:f>
        <x:v>0</x:v>
      </x:c>
      <x:c r="L12" s="75" t="n">
        <x:f>L5*'06_DRIVERS'!$J$8</x:f>
        <x:v>0</x:v>
      </x:c>
      <x:c r="M12" s="75" t="n">
        <x:f>M5*'06_DRIVERS'!$J$8</x:f>
        <x:v>0</x:v>
      </x:c>
      <x:c r="N12" s="75" t="n">
        <x:f>N5*'06_DRIVERS'!$J$8</x:f>
        <x:v>0</x:v>
      </x:c>
      <x:c r="O12" s="75" t="n">
        <x:f>O5*'06_DRIVERS'!$J$8</x:f>
        <x:v>0</x:v>
      </x:c>
      <x:c r="P12" s="62"/>
      <x:c r="Q12" s="62" t="str">
        <x:v>CAPEX</x:v>
      </x:c>
      <x:c r="R12" s="75"/>
      <x:c r="S12" s="75" t="n">
        <x:f>S5*'06_DRIVERS'!$J$8</x:f>
        <x:v>0</x:v>
      </x:c>
      <x:c r="T12" s="75" t="n">
        <x:f>T5*'06_DRIVERS'!$J$8</x:f>
        <x:v>0</x:v>
      </x:c>
      <x:c r="U12" s="75" t="n">
        <x:f>U5*'06_DRIVERS'!$J$8</x:f>
        <x:v>0</x:v>
      </x:c>
      <x:c r="V12" s="75" t="n">
        <x:f>V5*'06_DRIVERS'!$J$8</x:f>
        <x:v>0</x:v>
      </x:c>
      <x:c r="W12" s="75" t="n">
        <x:f>W5*'06_DRIVERS'!$J$8</x:f>
        <x:v>0</x:v>
      </x:c>
      <x:c r="X12" s="62"/>
      <x:c r="Y12" s="62"/>
      <x:c r="Z12" s="62"/>
    </x:row>
    <x:row r="13">
      <x:c r="A13" s="62" t="str">
        <x:v>Change NWC</x:v>
      </x:c>
      <x:c r="B13" s="75"/>
      <x:c r="C13" s="75" t="n">
        <x:f>C5*'06_DRIVERS'!$J$9</x:f>
        <x:v>0</x:v>
      </x:c>
      <x:c r="D13" s="75" t="n">
        <x:f>D5*'06_DRIVERS'!$J$9</x:f>
        <x:v>0</x:v>
      </x:c>
      <x:c r="E13" s="75" t="n">
        <x:f>E5*'06_DRIVERS'!$J$9</x:f>
        <x:v>0</x:v>
      </x:c>
      <x:c r="F13" s="75" t="n">
        <x:f>F5*'06_DRIVERS'!$J$9</x:f>
        <x:v>0</x:v>
      </x:c>
      <x:c r="G13" s="75" t="n">
        <x:f>G5*'06_DRIVERS'!$J$9</x:f>
        <x:v>0</x:v>
      </x:c>
      <x:c r="H13" s="62"/>
      <x:c r="I13" s="62" t="str">
        <x:v>Change NWC</x:v>
      </x:c>
      <x:c r="J13" s="75"/>
      <x:c r="K13" s="75" t="n">
        <x:f>K5*'06_DRIVERS'!$J$9</x:f>
        <x:v>0</x:v>
      </x:c>
      <x:c r="L13" s="75" t="n">
        <x:f>L5*'06_DRIVERS'!$J$9</x:f>
        <x:v>0</x:v>
      </x:c>
      <x:c r="M13" s="75" t="n">
        <x:f>M5*'06_DRIVERS'!$J$9</x:f>
        <x:v>0</x:v>
      </x:c>
      <x:c r="N13" s="75" t="n">
        <x:f>N5*'06_DRIVERS'!$J$9</x:f>
        <x:v>0</x:v>
      </x:c>
      <x:c r="O13" s="75" t="n">
        <x:f>O5*'06_DRIVERS'!$J$9</x:f>
        <x:v>0</x:v>
      </x:c>
      <x:c r="P13" s="62"/>
      <x:c r="Q13" s="62" t="str">
        <x:v>Change NWC</x:v>
      </x:c>
      <x:c r="R13" s="75"/>
      <x:c r="S13" s="75" t="n">
        <x:f>S5*'06_DRIVERS'!$J$9</x:f>
        <x:v>0</x:v>
      </x:c>
      <x:c r="T13" s="75" t="n">
        <x:f>T5*'06_DRIVERS'!$J$9</x:f>
        <x:v>0</x:v>
      </x:c>
      <x:c r="U13" s="75" t="n">
        <x:f>U5*'06_DRIVERS'!$J$9</x:f>
        <x:v>0</x:v>
      </x:c>
      <x:c r="V13" s="75" t="n">
        <x:f>V5*'06_DRIVERS'!$J$9</x:f>
        <x:v>0</x:v>
      </x:c>
      <x:c r="W13" s="75" t="n">
        <x:f>W5*'06_DRIVERS'!$J$9</x:f>
        <x:v>0</x:v>
      </x:c>
      <x:c r="X13" s="62"/>
      <x:c r="Y13" s="62"/>
      <x:c r="Z13" s="62"/>
    </x:row>
    <x:row r="14">
      <x:c r="A14" s="62" t="str">
        <x:v>FCFF</x:v>
      </x:c>
      <x:c r="B14" s="75"/>
      <x:c r="C14" s="75" t="n">
        <x:f>C10+C11-C12-C13</x:f>
        <x:v>0</x:v>
      </x:c>
      <x:c r="D14" s="75" t="n">
        <x:f>D10+D11-D12-D13</x:f>
        <x:v>0</x:v>
      </x:c>
      <x:c r="E14" s="75" t="n">
        <x:f>E10+E11-E12-E13</x:f>
        <x:v>0</x:v>
      </x:c>
      <x:c r="F14" s="75" t="n">
        <x:f>F10+F11-F12-F13</x:f>
        <x:v>0</x:v>
      </x:c>
      <x:c r="G14" s="75" t="n">
        <x:f>G10+G11-G12-G13</x:f>
        <x:v>0</x:v>
      </x:c>
      <x:c r="H14" s="62"/>
      <x:c r="I14" s="62" t="str">
        <x:v>FCFF</x:v>
      </x:c>
      <x:c r="J14" s="75"/>
      <x:c r="K14" s="75" t="n">
        <x:f>K10+K11-K12-K13</x:f>
        <x:v>0</x:v>
      </x:c>
      <x:c r="L14" s="75" t="n">
        <x:f>L10+L11-L12-L13</x:f>
        <x:v>0</x:v>
      </x:c>
      <x:c r="M14" s="75" t="n">
        <x:f>M10+M11-M12-M13</x:f>
        <x:v>0</x:v>
      </x:c>
      <x:c r="N14" s="75" t="n">
        <x:f>N10+N11-N12-N13</x:f>
        <x:v>0</x:v>
      </x:c>
      <x:c r="O14" s="75" t="n">
        <x:f>O10+O11-O12-O13</x:f>
        <x:v>0</x:v>
      </x:c>
      <x:c r="P14" s="62"/>
      <x:c r="Q14" s="62" t="str">
        <x:v>FCFF</x:v>
      </x:c>
      <x:c r="R14" s="75"/>
      <x:c r="S14" s="75" t="n">
        <x:f>S10+S11-S12-S13</x:f>
        <x:v>0</x:v>
      </x:c>
      <x:c r="T14" s="75" t="n">
        <x:f>T10+T11-T12-T13</x:f>
        <x:v>0</x:v>
      </x:c>
      <x:c r="U14" s="75" t="n">
        <x:f>U10+U11-U12-U13</x:f>
        <x:v>0</x:v>
      </x:c>
      <x:c r="V14" s="75" t="n">
        <x:f>V10+V11-V12-V13</x:f>
        <x:v>0</x:v>
      </x:c>
      <x:c r="W14" s="75" t="n">
        <x:f>W10+W11-W12-W13</x:f>
        <x:v>0</x:v>
      </x:c>
      <x:c r="X14" s="62"/>
      <x:c r="Y14" s="62"/>
      <x:c r="Z14" s="62"/>
    </x:row>
    <x:row r="15">
      <x:c r="A15" s="62" t="str">
        <x:v>Discount factor</x:v>
      </x:c>
      <x:c r="B15" s="75"/>
      <x:c r="C15" s="91" t="str">
        <x:f>IFERROR(IF('07_WACC'!$H$35&gt;=0.01,1/(1+'07_WACC'!$H$35)^1,""),"")</x:f>
      </x:c>
      <x:c r="D15" s="91" t="str">
        <x:f>IFERROR(IF('07_WACC'!$H$35&gt;=0.01,1/(1+'07_WACC'!$H$35)^2,""),"")</x:f>
      </x:c>
      <x:c r="E15" s="91" t="str">
        <x:f>IFERROR(IF('07_WACC'!$H$35&gt;=0.01,1/(1+'07_WACC'!$H$35)^3,""),"")</x:f>
      </x:c>
      <x:c r="F15" s="91" t="str">
        <x:f>IFERROR(IF('07_WACC'!$H$35&gt;=0.01,1/(1+'07_WACC'!$H$35)^4,""),"")</x:f>
      </x:c>
      <x:c r="G15" s="91" t="str">
        <x:f>IFERROR(IF('07_WACC'!$H$35&gt;=0.01,1/(1+'07_WACC'!$H$35)^5,""),"")</x:f>
      </x:c>
      <x:c r="H15" s="62"/>
      <x:c r="I15" s="62" t="str">
        <x:v>Discount factor</x:v>
      </x:c>
      <x:c r="J15" s="75"/>
      <x:c r="K15" s="91" t="str">
        <x:f>IFERROR(IF('07_WACC'!$J$35&gt;=0.01,1/(1+'07_WACC'!$J$35)^1,""),"")</x:f>
      </x:c>
      <x:c r="L15" s="91" t="str">
        <x:f>IFERROR(IF('07_WACC'!$J$35&gt;=0.01,1/(1+'07_WACC'!$J$35)^2,""),"")</x:f>
      </x:c>
      <x:c r="M15" s="91" t="str">
        <x:f>IFERROR(IF('07_WACC'!$J$35&gt;=0.01,1/(1+'07_WACC'!$J$35)^3,""),"")</x:f>
      </x:c>
      <x:c r="N15" s="91" t="str">
        <x:f>IFERROR(IF('07_WACC'!$J$35&gt;=0.01,1/(1+'07_WACC'!$J$35)^4,""),"")</x:f>
      </x:c>
      <x:c r="O15" s="91" t="str">
        <x:f>IFERROR(IF('07_WACC'!$J$35&gt;=0.01,1/(1+'07_WACC'!$J$35)^5,""),"")</x:f>
      </x:c>
      <x:c r="P15" s="62"/>
      <x:c r="Q15" s="62" t="str">
        <x:v>Discount factor</x:v>
      </x:c>
      <x:c r="R15" s="75"/>
      <x:c r="S15" s="91" t="str">
        <x:f>IFERROR(IF('07_WACC'!$L$35&gt;=0.01,1/(1+'07_WACC'!$L$35)^1,""),"")</x:f>
      </x:c>
      <x:c r="T15" s="91" t="str">
        <x:f>IFERROR(IF('07_WACC'!$L$35&gt;=0.01,1/(1+'07_WACC'!$L$35)^2,""),"")</x:f>
      </x:c>
      <x:c r="U15" s="91" t="str">
        <x:f>IFERROR(IF('07_WACC'!$L$35&gt;=0.01,1/(1+'07_WACC'!$L$35)^3,""),"")</x:f>
      </x:c>
      <x:c r="V15" s="91" t="str">
        <x:f>IFERROR(IF('07_WACC'!$L$35&gt;=0.01,1/(1+'07_WACC'!$L$35)^4,""),"")</x:f>
      </x:c>
      <x:c r="W15" s="91" t="str">
        <x:f>IFERROR(IF('07_WACC'!$L$35&gt;=0.01,1/(1+'07_WACC'!$L$35)^5,""),"")</x:f>
      </x:c>
      <x:c r="X15" s="62"/>
      <x:c r="Y15" s="62"/>
      <x:c r="Z15" s="62"/>
    </x:row>
    <x:row r="16">
      <x:c r="A16" s="62" t="str">
        <x:v>PV FCFF</x:v>
      </x:c>
      <x:c r="B16" s="75"/>
      <x:c r="C16" s="75" t="n">
        <x:f>C14*C15</x:f>
        <x:v>0</x:v>
      </x:c>
      <x:c r="D16" s="75" t="n">
        <x:f>D14*D15</x:f>
        <x:v>0</x:v>
      </x:c>
      <x:c r="E16" s="75" t="n">
        <x:f>E14*E15</x:f>
        <x:v>0</x:v>
      </x:c>
      <x:c r="F16" s="75" t="n">
        <x:f>F14*F15</x:f>
        <x:v>0</x:v>
      </x:c>
      <x:c r="G16" s="75" t="n">
        <x:f>G14*G15</x:f>
        <x:v>0</x:v>
      </x:c>
      <x:c r="H16" s="62"/>
      <x:c r="I16" s="62" t="str">
        <x:v>PV FCFF</x:v>
      </x:c>
      <x:c r="J16" s="75"/>
      <x:c r="K16" s="75" t="n">
        <x:f>K14*K15</x:f>
        <x:v>0</x:v>
      </x:c>
      <x:c r="L16" s="75" t="n">
        <x:f>L14*L15</x:f>
        <x:v>0</x:v>
      </x:c>
      <x:c r="M16" s="75" t="n">
        <x:f>M14*M15</x:f>
        <x:v>0</x:v>
      </x:c>
      <x:c r="N16" s="75" t="n">
        <x:f>N14*N15</x:f>
        <x:v>0</x:v>
      </x:c>
      <x:c r="O16" s="75" t="n">
        <x:f>O14*O15</x:f>
        <x:v>0</x:v>
      </x:c>
      <x:c r="P16" s="62"/>
      <x:c r="Q16" s="62" t="str">
        <x:v>PV FCFF</x:v>
      </x:c>
      <x:c r="R16" s="75"/>
      <x:c r="S16" s="75" t="n">
        <x:f>S14*S15</x:f>
        <x:v>0</x:v>
      </x:c>
      <x:c r="T16" s="75" t="n">
        <x:f>T14*T15</x:f>
        <x:v>0</x:v>
      </x:c>
      <x:c r="U16" s="75" t="n">
        <x:f>U14*U15</x:f>
        <x:v>0</x:v>
      </x:c>
      <x:c r="V16" s="75" t="n">
        <x:f>V14*V15</x:f>
        <x:v>0</x:v>
      </x:c>
      <x:c r="W16" s="75" t="n">
        <x:f>W14*W15</x:f>
        <x:v>0</x:v>
      </x:c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W1"/>
    <x:mergeCell ref="A3:G3"/>
    <x:mergeCell ref="I3:O3"/>
    <x:mergeCell ref="Q3:W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28" customHeight="1">
      <x:c r="A1" s="5" t="str">
        <x:v>VALORACIÓN — FAMILIA PHARMA</x:v>
      </x:c>
      <x:c r="B1" s="5"/>
      <x:c r="C1" s="5"/>
      <x:c r="D1" s="5"/>
      <x:c r="E1" s="5"/>
      <x:c r="F1" s="5"/>
      <x:c r="G1" s="5"/>
      <x:c r="H1" s="5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Concepto</x:v>
      </x:c>
      <x:c r="B3" s="22" t="str">
        <x:v>Conservador</x:v>
      </x:c>
      <x:c r="C3" s="22" t="str">
        <x:v>Base</x:v>
      </x:c>
      <x:c r="D3" s="22" t="str">
        <x:v>Optimista</x:v>
      </x:c>
      <x:c r="E3" s="22" t="str">
        <x:v>Unidad</x:v>
      </x:c>
      <x:c r="F3" s="22" t="str">
        <x:v>Método</x:v>
      </x:c>
      <x:c r="G3" s="22" t="str">
        <x:v>Control</x:v>
      </x:c>
      <x:c r="H3" s="22" t="str">
        <x:v>Notas</x:v>
      </x:c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Valor principal</x:v>
      </x:c>
      <x:c r="B4" s="75" t="n">
        <x:f>IFERROR((SUM('08_PROYECCIONES'!C16:G16)+(('08_PROYECCIONES'!G14*(1+MIN('06_DRIVERS'!$J$10,'07_WACC'!$B$28)))/(MAX(0.01,'07_WACC'!$H$35)-MIN('06_DRIVERS'!$J$10,'07_WACC'!$B$28)))*'08_PROYECCIONES'!G15-'01_CONTROL'!$B$14+'01_CONTROL'!$B$15-'01_CONTROL'!$B$16)/'01_CONTROL'!$B$13,0)</x:f>
        <x:v>0</x:v>
      </x:c>
      <x:c r="C4" s="75" t="n">
        <x:f>IFERROR((SUM('08_PROYECCIONES'!K16:O16)+(('08_PROYECCIONES'!O14*(1+MIN('06_DRIVERS'!$J$10,'07_WACC'!$B$28)))/(MAX(0.01,'07_WACC'!$J$35)-MIN('06_DRIVERS'!$J$10,'07_WACC'!$B$28)))*'08_PROYECCIONES'!O15-'01_CONTROL'!$B$14+'01_CONTROL'!$B$15-'01_CONTROL'!$B$16)/'01_CONTROL'!$B$13,0)</x:f>
        <x:v>0</x:v>
      </x:c>
      <x:c r="D4" s="75" t="n">
        <x:f>IFERROR((SUM('08_PROYECCIONES'!S16:W16)+(('08_PROYECCIONES'!W14*(1+MIN('06_DRIVERS'!$J$10,'07_WACC'!$B$28)))/(MAX(0.01,'07_WACC'!$L$35)-MIN('06_DRIVERS'!$J$10,'07_WACC'!$B$28)))*'08_PROYECCIONES'!W15-'01_CONTROL'!$B$14+'01_CONTROL'!$B$15-'01_CONTROL'!$B$16)/'01_CONTROL'!$B$13,0)</x:f>
        <x:v>0</x:v>
      </x:c>
      <x:c r="E4" s="62" t="str">
        <x:v>moneda/acción</x:v>
      </x:c>
      <x:c r="F4" s="62" t="str">
        <x:v>PHARMA</x:v>
      </x:c>
      <x:c r="G4" s="62" t="str"/>
      <x:c r="H4" s="62" t="str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Valor múltiplos</x:v>
      </x:c>
      <x:c r="B5" s="75" t="n">
        <x:f>IFERROR((MAX(0,'02_DATOS_RAW'!E6)*'06_DRIVERS'!J12-'01_CONTROL'!B14+'01_CONTROL'!B15)/'01_CONTROL'!B13,0)</x:f>
        <x:v>0</x:v>
      </x:c>
      <x:c r="C5" s="75" t="n">
        <x:f>IFERROR((MAX(0,'02_DATOS_RAW'!E6)*'06_DRIVERS'!J12-'01_CONTROL'!B14+'01_CONTROL'!B15)/'01_CONTROL'!B13,0)</x:f>
        <x:v>0</x:v>
      </x:c>
      <x:c r="D5" s="75" t="n">
        <x:f>IFERROR((MAX(0,'02_DATOS_RAW'!E6)*'06_DRIVERS'!J12-'01_CONTROL'!B14+'01_CONTROL'!B15)/'01_CONTROL'!B13,0)</x:f>
        <x:v>0</x:v>
      </x:c>
      <x:c r="E5" s="62" t="str">
        <x:v>moneda/acción</x:v>
      </x:c>
      <x:c r="F5" s="62" t="str">
        <x:v>comparables</x:v>
      </x:c>
      <x:c r="G5" s="62" t="str"/>
      <x:c r="H5" s="62" t="str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Valor combinado</x:v>
      </x:c>
      <x:c r="B6" s="75" t="n">
        <x:f>B4*0.8+B5*0.2</x:f>
        <x:v>0</x:v>
      </x:c>
      <x:c r="C6" s="75" t="n">
        <x:f>C4*0.8+C5*0.2</x:f>
        <x:v>0</x:v>
      </x:c>
      <x:c r="D6" s="75" t="n">
        <x:f>D4*0.8+D5*0.2</x:f>
        <x:v>0</x:v>
      </x:c>
      <x:c r="E6" s="62" t="str">
        <x:v>moneda/acción</x:v>
      </x:c>
      <x:c r="F6" s="62" t="str">
        <x:v>80/20</x:v>
      </x:c>
      <x:c r="G6" s="62" t="str"/>
      <x:c r="H6" s="62" t="str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Descuento riesgo</x:v>
      </x:c>
      <x:c r="B7" s="76" t="n">
        <x:v>0.07</x:v>
      </x:c>
      <x:c r="C7" s="76" t="n">
        <x:v>0.03</x:v>
      </x:c>
      <x:c r="D7" s="76" t="n">
        <x:v>0</x:v>
      </x:c>
      <x:c r="E7" s="62" t="str">
        <x:v>%</x:v>
      </x:c>
      <x:c r="F7" s="62" t="str">
        <x:v>driver</x:v>
      </x:c>
      <x:c r="G7" s="62" t="str"/>
      <x:c r="H7" s="62" t="str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Valor ajustado</x:v>
      </x:c>
      <x:c r="B8" s="75" t="n">
        <x:f>B6*(1-B7)</x:f>
        <x:v>0</x:v>
      </x:c>
      <x:c r="C8" s="75" t="n">
        <x:f>C6*(1-C7)</x:f>
        <x:v>0</x:v>
      </x:c>
      <x:c r="D8" s="75" t="n">
        <x:f>D6*(1-D7)</x:f>
        <x:v>0</x:v>
      </x:c>
      <x:c r="E8" s="62" t="str">
        <x:v>moneda/acción</x:v>
      </x:c>
      <x:c r="F8" s="62" t="str">
        <x:v>final</x:v>
      </x:c>
      <x:c r="G8" s="62" t="str"/>
      <x:c r="H8" s="62" t="str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Precio máximo compra</x:v>
      </x:c>
      <x:c r="B9" s="75" t="n">
        <x:f>B8*(1-0.3)</x:f>
        <x:v>0</x:v>
      </x:c>
      <x:c r="C9" s="75" t="n">
        <x:f>C8*(1-0.25)</x:f>
        <x:v>0</x:v>
      </x:c>
      <x:c r="D9" s="75" t="n">
        <x:f>D8*(1-0.2)</x:f>
        <x:v>0</x:v>
      </x:c>
      <x:c r="E9" s="62" t="str">
        <x:v>moneda/acción</x:v>
      </x:c>
      <x:c r="F9" s="62" t="str">
        <x:v>margen seguridad</x:v>
      </x:c>
      <x:c r="G9" s="62" t="str"/>
      <x:c r="H9" s="62" t="str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Potencial</x:v>
      </x:c>
      <x:c r="B10" s="76" t="n">
        <x:f>IFERROR(B8/'01_CONTROL'!B12-1,0)</x:f>
        <x:v>0</x:v>
      </x:c>
      <x:c r="C10" s="76" t="n">
        <x:f>IFERROR(C8/'01_CONTROL'!B12-1,0)</x:f>
        <x:v>0</x:v>
      </x:c>
      <x:c r="D10" s="76" t="n">
        <x:f>IFERROR(D8/'01_CONTROL'!B12-1,0)</x:f>
        <x:v>0</x:v>
      </x:c>
      <x:c r="E10" s="62" t="str">
        <x:v>%</x:v>
      </x:c>
      <x:c r="F10" s="62" t="str">
        <x:v>precio vs valor</x:v>
      </x:c>
      <x:c r="G10" s="62" t="str"/>
      <x:c r="H10" s="62" t="str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  <x:col min="7" max="7" width="40" hidden="0" customWidth="1"/>
  </x:cols>
  <x:sheetData>
    <x:row r="1" ht="28" customHeight="1">
      <x:c r="A1" s="5" t="str">
        <x:v>RESULTADO EJECUTIVO</x:v>
      </x:c>
      <x:c r="B1" s="5"/>
      <x:c r="C1" s="5"/>
      <x:c r="D1" s="5"/>
      <x:c r="E1" s="5"/>
      <x:c r="F1" s="5"/>
      <x:c r="G1" s="5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Métrica</x:v>
      </x:c>
      <x:c r="B3" s="22" t="str">
        <x:v>Conservador</x:v>
      </x:c>
      <x:c r="C3" s="22" t="str">
        <x:v>Base</x:v>
      </x:c>
      <x:c r="D3" s="22" t="str">
        <x:v>Optimista</x:v>
      </x:c>
      <x:c r="E3" s="22" t="str">
        <x:v>Unidad</x:v>
      </x:c>
      <x:c r="F3" s="22" t="str">
        <x:v>Estado</x:v>
      </x:c>
      <x:c r="G3" s="22" t="str">
        <x:v>Interpretación</x:v>
      </x:c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fair_value</x:v>
      </x:c>
      <x:c r="B4" s="75" t="n">
        <x:f>'09_VALORACION'!B8</x:f>
        <x:v>0</x:v>
      </x:c>
      <x:c r="C4" s="75" t="n">
        <x:f>'09_VALORACION'!C8</x:f>
        <x:v>0</x:v>
      </x:c>
      <x:c r="D4" s="75" t="n">
        <x:f>'09_VALORACION'!D8</x:f>
        <x:v>0</x:v>
      </x:c>
      <x:c r="E4" s="62" t="str">
        <x:v>moneda/acción</x:v>
      </x:c>
      <x:c r="F4" s="62" t="str"/>
      <x:c r="G4" s="62" t="str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margin_of_safety</x:v>
      </x:c>
      <x:c r="B5" s="76" t="n">
        <x:v>0.3</x:v>
      </x:c>
      <x:c r="C5" s="76" t="n">
        <x:v>0.25</x:v>
      </x:c>
      <x:c r="D5" s="76" t="n">
        <x:v>0.2</x:v>
      </x:c>
      <x:c r="E5" s="62" t="str">
        <x:v>%</x:v>
      </x:c>
      <x:c r="F5" s="62" t="str"/>
      <x:c r="G5" s="62" t="str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max_buy_price</x:v>
      </x:c>
      <x:c r="B6" s="75" t="n">
        <x:f>B4*(1-B5)</x:f>
        <x:v>0</x:v>
      </x:c>
      <x:c r="C6" s="75" t="n">
        <x:f>C4*(1-C5)</x:f>
        <x:v>0</x:v>
      </x:c>
      <x:c r="D6" s="75" t="n">
        <x:f>D4*(1-D5)</x:f>
        <x:v>0</x:v>
      </x:c>
      <x:c r="E6" s="62" t="str">
        <x:v>moneda/acción</x:v>
      </x:c>
      <x:c r="F6" s="62" t="str"/>
      <x:c r="G6" s="62" t="str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current_price</x:v>
      </x:c>
      <x:c r="B7" s="75" t="n">
        <x:f>'01_CONTROL'!B12</x:f>
        <x:v>0</x:v>
      </x:c>
      <x:c r="C7" s="75" t="n">
        <x:f>'01_CONTROL'!B12</x:f>
        <x:v>0</x:v>
      </x:c>
      <x:c r="D7" s="75" t="n">
        <x:f>'01_CONTROL'!B12</x:f>
        <x:v>0</x:v>
      </x:c>
      <x:c r="E7" s="62" t="str">
        <x:v>moneda/acción</x:v>
      </x:c>
      <x:c r="F7" s="62" t="str"/>
      <x:c r="G7" s="62" t="str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upside</x:v>
      </x:c>
      <x:c r="B8" s="76" t="n">
        <x:f>IFERROR(B4/B7-1,0)</x:f>
        <x:v>0</x:v>
      </x:c>
      <x:c r="C8" s="76" t="n">
        <x:f>IFERROR(C4/C7-1,0)</x:f>
        <x:v>0</x:v>
      </x:c>
      <x:c r="D8" s="76" t="n">
        <x:f>IFERROR(D4/D7-1,0)</x:f>
        <x:v>0</x:v>
      </x:c>
      <x:c r="E8" s="62" t="str">
        <x:v>%</x:v>
      </x:c>
      <x:c r="F8" s="62" t="str"/>
      <x:c r="G8" s="62" t="str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decision</x:v>
      </x:c>
      <x:c r="B9" s="62" t="str">
        <x:f>IF(OR(B7&lt;=0,B4&lt;=0),"DATA_PENDING",IF(B7&lt;=B6,"BUY",IF(B7&lt;=B4,"WATCH","WAIT")))</x:f>
        <x:v>DATA_PENDING</x:v>
      </x:c>
      <x:c r="C9" s="62" t="str">
        <x:f>IF(OR(C7&lt;=0,C4&lt;=0),"DATA_PENDING",IF(C7&lt;=C6,"BUY",IF(C7&lt;=C4,"WATCH","WAIT")))</x:f>
        <x:v>DATA_PENDING</x:v>
      </x:c>
      <x:c r="D9" s="62" t="str">
        <x:f>IF(OR(D7&lt;=0,D4&lt;=0),"DATA_PENDING",IF(D7&lt;=D6,"BUY",IF(D7&lt;=D4,"WATCH","WAIT")))</x:f>
        <x:v>DATA_PENDING</x:v>
      </x:c>
      <x:c r="E9" s="62" t="str">
        <x:v>texto</x:v>
      </x:c>
      <x:c r="F9" s="62" t="str"/>
      <x:c r="G9" s="62" t="str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confidence</x:v>
      </x:c>
      <x:c r="B10" s="62" t="str">
        <x:f>'01_CONTROL'!B20</x:f>
        <x:v>MEDIUM</x:v>
      </x:c>
      <x:c r="C10" s="62" t="str">
        <x:f>'01_CONTROL'!B20</x:f>
        <x:v>MEDIUM</x:v>
      </x:c>
      <x:c r="D10" s="62" t="str">
        <x:f>'01_CONTROL'!B20</x:f>
        <x:v>MEDIUM</x:v>
      </x:c>
      <x:c r="E10" s="62" t="str">
        <x:v>texto</x:v>
      </x:c>
      <x:c r="F10" s="62" t="str"/>
      <x:c r="G10" s="62" t="str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validation_status</x:v>
      </x:c>
      <x:c r="B11" s="62" t="str">
        <x:f>IF(COUNTIF('13_VALIDACIONES'!B4:B21,"ERROR")&gt;0,"BLOCKED",IF(COUNTIF('13_VALIDACIONES'!B4:B21,"REVIEW")&gt;0,"REVIEW","APPROVED"))</x:f>
        <x:v>BLOCKED</x:v>
      </x:c>
      <x:c r="C11" s="62" t="str">
        <x:f>IF(COUNTIF('13_VALIDACIONES'!B4:B21,"ERROR")&gt;0,"BLOCKED",IF(COUNTIF('13_VALIDACIONES'!B4:B21,"REVIEW")&gt;0,"REVIEW","APPROVED"))</x:f>
        <x:v>BLOCKED</x:v>
      </x:c>
      <x:c r="D11" s="62" t="str">
        <x:f>IF(COUNTIF('13_VALIDACIONES'!B4:B21,"ERROR")&gt;0,"BLOCKED",IF(COUNTIF('13_VALIDACIONES'!B4:B21,"REVIEW")&gt;0,"REVIEW","APPROVED"))</x:f>
        <x:v>BLOCKED</x:v>
      </x:c>
      <x:c r="E11" s="62" t="str">
        <x:v>texto</x:v>
      </x:c>
      <x:c r="F11" s="62" t="str"/>
      <x:c r="G11" s="62" t="str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G1"/>
  </x:mergeCells>
  <x:conditionalFormatting sqref="B9:D11">
    <x:cfRule type="expression" dxfId="0" priority="1">
      <x:formula>B9="COMPRAR"</x:formula>
    </x:cfRule>
    <x:cfRule type="expression" dxfId="1" priority="2">
      <x:formula>B9="ESPERAR"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40" hidden="0" customWidth="1"/>
  </x:cols>
  <x:sheetData>
    <x:row r="1" ht="28" customHeight="1">
      <x:c r="A1" s="5" t="str">
        <x:v>SALIDA UNIVERSAL PARA BACKEND</x:v>
      </x:c>
      <x:c r="B1" s="5"/>
      <x:c r="C1" s="5"/>
      <x:c r="D1" s="5"/>
      <x:c r="E1" s="5"/>
      <x:c r="F1" s="5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field</x:v>
      </x:c>
      <x:c r="B3" s="22" t="str">
        <x:v>value</x:v>
      </x:c>
      <x:c r="C3" s="22" t="str">
        <x:v>type</x:v>
      </x:c>
      <x:c r="D3" s="22" t="str">
        <x:v>unit</x:v>
      </x:c>
      <x:c r="E3" s="22" t="str">
        <x:v>status</x:v>
      </x:c>
      <x:c r="F3" s="22" t="str">
        <x:v>description</x:v>
      </x:c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template_code</x:v>
      </x:c>
      <x:c r="B4" s="62" t="str">
        <x:f>'01_CONTROL'!B17</x:f>
        <x:v>12</x:v>
      </x:c>
      <x:c r="C4" s="62" t="str">
        <x:v>string</x:v>
      </x:c>
      <x:c r="D4" s="62" t="str"/>
      <x:c r="E4" s="62" t="str"/>
      <x:c r="F4" s="62" t="str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model_version</x:v>
      </x:c>
      <x:c r="B5" s="62" t="str">
        <x:f>'01_CONTROL'!B18</x:f>
        <x:v>1.4.0</x:v>
      </x:c>
      <x:c r="C5" s="62" t="str">
        <x:v>string</x:v>
      </x:c>
      <x:c r="D5" s="62" t="str"/>
      <x:c r="E5" s="62" t="str"/>
      <x:c r="F5" s="62" t="str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data_version</x:v>
      </x:c>
      <x:c r="B6" s="62" t="n">
        <x:f>'01_CONTROL'!B19</x:f>
        <x:v>0</x:v>
      </x:c>
      <x:c r="C6" s="62" t="str">
        <x:v>string</x:v>
      </x:c>
      <x:c r="D6" s="62" t="str"/>
      <x:c r="E6" s="62" t="str"/>
      <x:c r="F6" s="62" t="str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company_id</x:v>
      </x:c>
      <x:c r="B7" s="62" t="n">
        <x:f>'01_CONTROL'!B4</x:f>
        <x:v>0</x:v>
      </x:c>
      <x:c r="C7" s="62" t="str">
        <x:v>string</x:v>
      </x:c>
      <x:c r="D7" s="62" t="str"/>
      <x:c r="E7" s="62" t="str"/>
      <x:c r="F7" s="62" t="str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instrument_id</x:v>
      </x:c>
      <x:c r="B8" s="62" t="n">
        <x:f>'01_CONTROL'!B5</x:f>
        <x:v>0</x:v>
      </x:c>
      <x:c r="C8" s="62" t="str">
        <x:v>string</x:v>
      </x:c>
      <x:c r="D8" s="62" t="str"/>
      <x:c r="E8" s="62" t="str"/>
      <x:c r="F8" s="62" t="str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valuation_run_id</x:v>
      </x:c>
      <x:c r="B9" s="62" t="n">
        <x:f>'01_CONTROL'!B23</x:f>
        <x:v>0</x:v>
      </x:c>
      <x:c r="C9" s="62" t="str">
        <x:v>string</x:v>
      </x:c>
      <x:c r="D9" s="62" t="str"/>
      <x:c r="E9" s="62" t="str"/>
      <x:c r="F9" s="62" t="str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input_snapshot_id</x:v>
      </x:c>
      <x:c r="B10" s="75" t="n">
        <x:f>'01_CONTROL'!B24</x:f>
        <x:v>0</x:v>
      </x:c>
      <x:c r="C10" s="62" t="str">
        <x:v>string</x:v>
      </x:c>
      <x:c r="D10" s="62" t="str"/>
      <x:c r="E10" s="62" t="str"/>
      <x:c r="F10" s="62" t="str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valuation_date</x:v>
      </x:c>
      <x:c r="B11" s="75" t="n">
        <x:f>'01_CONTROL'!B11</x:f>
        <x:v>0</x:v>
      </x:c>
      <x:c r="C11" s="62" t="str">
        <x:v>date</x:v>
      </x:c>
      <x:c r="D11" s="62" t="str"/>
      <x:c r="E11" s="62" t="str"/>
      <x:c r="F11" s="62" t="str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current_price</x:v>
      </x:c>
      <x:c r="B12" s="75" t="n">
        <x:f>'01_CONTROL'!B12</x:f>
        <x:v>0</x:v>
      </x:c>
      <x:c r="C12" s="62" t="str">
        <x:v>number</x:v>
      </x:c>
      <x:c r="D12" s="62" t="str">
        <x:v>moneda/acción</x:v>
      </x:c>
      <x:c r="E12" s="62" t="str"/>
      <x:c r="F12" s="62" t="str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fair_value_conservative</x:v>
      </x:c>
      <x:c r="B13" s="75" t="n">
        <x:f>'10_RESULTADO'!B4</x:f>
        <x:v>0</x:v>
      </x:c>
      <x:c r="C13" s="62" t="str">
        <x:v>number</x:v>
      </x:c>
      <x:c r="D13" s="62" t="str">
        <x:v>moneda/acción</x:v>
      </x:c>
      <x:c r="E13" s="62" t="str"/>
      <x:c r="F13" s="62" t="str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fair_value_base</x:v>
      </x:c>
      <x:c r="B14" s="75" t="n">
        <x:f>'10_RESULTADO'!C4</x:f>
        <x:v>0</x:v>
      </x:c>
      <x:c r="C14" s="62" t="str">
        <x:v>number</x:v>
      </x:c>
      <x:c r="D14" s="62" t="str">
        <x:v>moneda/acción</x:v>
      </x:c>
      <x:c r="E14" s="62" t="str"/>
      <x:c r="F14" s="62" t="str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fair_value_optimistic</x:v>
      </x:c>
      <x:c r="B15" s="76" t="n">
        <x:f>'10_RESULTADO'!D4</x:f>
        <x:v>0</x:v>
      </x:c>
      <x:c r="C15" s="62" t="str">
        <x:v>number</x:v>
      </x:c>
      <x:c r="D15" s="62" t="str">
        <x:v>moneda/acción</x:v>
      </x:c>
      <x:c r="E15" s="62" t="str"/>
      <x:c r="F15" s="62" t="str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max_buy_price_conservative</x:v>
      </x:c>
      <x:c r="B16" s="62" t="n">
        <x:f>'10_RESULTADO'!B6</x:f>
        <x:v>0</x:v>
      </x:c>
      <x:c r="C16" s="62" t="str">
        <x:v>number</x:v>
      </x:c>
      <x:c r="D16" s="62" t="str">
        <x:v>moneda/acción</x:v>
      </x:c>
      <x:c r="E16" s="62" t="str"/>
      <x:c r="F16" s="62" t="str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max_buy_price_base</x:v>
      </x:c>
      <x:c r="B17" s="62" t="n">
        <x:f>'10_RESULTADO'!C6</x:f>
        <x:v>0</x:v>
      </x:c>
      <x:c r="C17" s="62" t="str">
        <x:v>number</x:v>
      </x:c>
      <x:c r="D17" s="62" t="str">
        <x:v>moneda/acción</x:v>
      </x:c>
      <x:c r="E17" s="62" t="str"/>
      <x:c r="F17" s="62" t="str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max_buy_price_optimistic</x:v>
      </x:c>
      <x:c r="B18" s="62" t="n">
        <x:f>'10_RESULTADO'!D6</x:f>
        <x:v>0</x:v>
      </x:c>
      <x:c r="C18" s="62" t="str">
        <x:v>number</x:v>
      </x:c>
      <x:c r="D18" s="62" t="str">
        <x:v>moneda/acción</x:v>
      </x:c>
      <x:c r="E18" s="62" t="str"/>
      <x:c r="F18" s="62" t="str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upside_conservative</x:v>
      </x:c>
      <x:c r="B19" s="76" t="n">
        <x:f>'10_RESULTADO'!B8</x:f>
        <x:v>0</x:v>
      </x:c>
      <x:c r="C19" s="62" t="str">
        <x:v>number</x:v>
      </x:c>
      <x:c r="D19" s="62" t="str">
        <x:v>%</x:v>
      </x:c>
      <x:c r="E19" s="62" t="str"/>
      <x:c r="F19" s="62" t="str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upside_base</x:v>
      </x:c>
      <x:c r="B20" s="76" t="n">
        <x:f>'10_RESULTADO'!C8</x:f>
        <x:v>0</x:v>
      </x:c>
      <x:c r="C20" s="62" t="str">
        <x:v>number</x:v>
      </x:c>
      <x:c r="D20" s="62" t="str">
        <x:v>%</x:v>
      </x:c>
      <x:c r="E20" s="62" t="str"/>
      <x:c r="F20" s="62" t="str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upside_optimistic</x:v>
      </x:c>
      <x:c r="B21" s="62" t="n">
        <x:f>'10_RESULTADO'!D8</x:f>
        <x:v>0</x:v>
      </x:c>
      <x:c r="C21" s="62" t="str">
        <x:v>number</x:v>
      </x:c>
      <x:c r="D21" s="62" t="str">
        <x:v>%</x:v>
      </x:c>
      <x:c r="E21" s="62" t="str"/>
      <x:c r="F21" s="62" t="str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 t="str">
        <x:v>decision_conservative</x:v>
      </x:c>
      <x:c r="B22" s="62" t="str">
        <x:f>'10_RESULTADO'!B9</x:f>
        <x:v>DATA_PENDING</x:v>
      </x:c>
      <x:c r="C22" s="62" t="str">
        <x:v>string</x:v>
      </x:c>
      <x:c r="D22" s="62" t="str"/>
      <x:c r="E22" s="62" t="str"/>
      <x:c r="F22" s="62" t="str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 t="str">
        <x:v>decision_base</x:v>
      </x:c>
      <x:c r="B23" s="62" t="str">
        <x:f>'10_RESULTADO'!C9</x:f>
        <x:v>DATA_PENDING</x:v>
      </x:c>
      <x:c r="C23" s="62" t="str">
        <x:v>string</x:v>
      </x:c>
      <x:c r="D23" s="62" t="str"/>
      <x:c r="E23" s="62" t="str"/>
      <x:c r="F23" s="62" t="str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 t="str">
        <x:v>decision_optimistic</x:v>
      </x:c>
      <x:c r="B24" s="62" t="str">
        <x:f>'10_RESULTADO'!D9</x:f>
        <x:v>DATA_PENDING</x:v>
      </x:c>
      <x:c r="C24" s="62" t="str">
        <x:v>string</x:v>
      </x:c>
      <x:c r="D24" s="62" t="str"/>
      <x:c r="E24" s="62" t="str"/>
      <x:c r="F24" s="62" t="str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 t="str">
        <x:v>confidence</x:v>
      </x:c>
      <x:c r="B25" s="62" t="str">
        <x:f>'10_RESULTADO'!C10</x:f>
        <x:v>MEDIUM</x:v>
      </x:c>
      <x:c r="C25" s="62" t="str">
        <x:v>string</x:v>
      </x:c>
      <x:c r="D25" s="62" t="str"/>
      <x:c r="E25" s="62" t="str"/>
      <x:c r="F25" s="62" t="str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 t="str">
        <x:v>validation_status</x:v>
      </x:c>
      <x:c r="B26" s="62" t="str">
        <x:f>'10_RESULTADO'!C11</x:f>
        <x:v>BLOCKED</x:v>
      </x:c>
      <x:c r="C26" s="62" t="str">
        <x:v>string</x:v>
      </x:c>
      <x:c r="D26" s="62" t="str"/>
      <x:c r="E26" s="62" t="str"/>
      <x:c r="F26" s="62" t="str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 t="str">
        <x:v>wacc_conservative</x:v>
      </x:c>
      <x:c r="B27" s="62" t="n">
        <x:f>'07_WACC'!H35</x:f>
        <x:v>0</x:v>
      </x:c>
      <x:c r="C27" s="62" t="str">
        <x:v>number</x:v>
      </x:c>
      <x:c r="D27" s="62" t="str">
        <x:v>%</x:v>
      </x:c>
      <x:c r="E27" s="62" t="str"/>
      <x:c r="F27" s="62" t="str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 t="str">
        <x:v>wacc_base</x:v>
      </x:c>
      <x:c r="B28" s="62" t="n">
        <x:f>'07_WACC'!J35</x:f>
        <x:v>0</x:v>
      </x:c>
      <x:c r="C28" s="62" t="str">
        <x:v>number</x:v>
      </x:c>
      <x:c r="D28" s="62" t="str">
        <x:v>%</x:v>
      </x:c>
      <x:c r="E28" s="62" t="str"/>
      <x:c r="F28" s="62" t="str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 t="str">
        <x:v>wacc_optimistic</x:v>
      </x:c>
      <x:c r="B29" s="62" t="n">
        <x:f>'07_WACC'!L35</x:f>
        <x:v>0</x:v>
      </x:c>
      <x:c r="C29" s="62" t="str">
        <x:v>number</x:v>
      </x:c>
      <x:c r="D29" s="62" t="str">
        <x:v>%</x:v>
      </x:c>
      <x:c r="E29" s="62" t="str"/>
      <x:c r="F29" s="62" t="str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 t="str">
        <x:v>terminal_growth</x:v>
      </x:c>
      <x:c r="B30" s="62" t="n">
        <x:f>'06_DRIVERS'!J10</x:f>
        <x:v>0.0225</x:v>
      </x:c>
      <x:c r="C30" s="62" t="str">
        <x:v>number</x:v>
      </x:c>
      <x:c r="D30" s="62" t="str">
        <x:v>%</x:v>
      </x:c>
      <x:c r="E30" s="62" t="str"/>
      <x:c r="F30" s="62" t="str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 t="str">
        <x:v>synthetic_rating</x:v>
      </x:c>
      <x:c r="B31" s="62" t="n">
        <x:f>'01_CONTROL'!B34</x:f>
        <x:v>0</x:v>
      </x:c>
      <x:c r="C31" s="62" t="str">
        <x:v>string</x:v>
      </x:c>
      <x:c r="D31" s="62" t="str"/>
      <x:c r="E31" s="62" t="str"/>
      <x:c r="F31" s="62" t="str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 t="str">
        <x:v>credit_spread</x:v>
      </x:c>
      <x:c r="B32" s="62" t="n">
        <x:f>'01_CONTROL'!B35</x:f>
        <x:v>0</x:v>
      </x:c>
      <x:c r="C32" s="62" t="str">
        <x:v>number</x:v>
      </x:c>
      <x:c r="D32" s="62" t="str">
        <x:v>%</x:v>
      </x:c>
      <x:c r="E32" s="62" t="str"/>
      <x:c r="F32" s="62" t="str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 t="str">
        <x:v>ke_capm</x:v>
      </x:c>
      <x:c r="B34" s="76" t="n">
        <x:f>'07_WACC'!J20</x:f>
        <x:v>0</x:v>
      </x:c>
      <x:c r="C34" s="62" t="str">
        <x:v>number</x:v>
      </x:c>
      <x:c r="D34" s="62" t="str">
        <x:v>decimal</x:v>
      </x:c>
      <x:c r="E34" s="62" t="str"/>
      <x:c r="F34" s="62" t="str">
        <x:v>valor congelable al persistir</x:v>
      </x:c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 t="str">
        <x:v>wacc_financiero_conservative</x:v>
      </x:c>
      <x:c r="B35" s="76" t="n">
        <x:f>'07_WACC'!H29</x:f>
        <x:v>0</x:v>
      </x:c>
      <x:c r="C35" s="62" t="str">
        <x:v>number</x:v>
      </x:c>
      <x:c r="D35" s="62" t="str">
        <x:v>decimal</x:v>
      </x:c>
      <x:c r="E35" s="62" t="str"/>
      <x:c r="F35" s="62" t="str">
        <x:v>valor congelable al persistir</x:v>
      </x:c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 t="str">
        <x:v>wacc_financiero_base</x:v>
      </x:c>
      <x:c r="B36" s="76" t="n">
        <x:f>'07_WACC'!J29</x:f>
        <x:v>0</x:v>
      </x:c>
      <x:c r="C36" s="62" t="str">
        <x:v>number</x:v>
      </x:c>
      <x:c r="D36" s="62" t="str">
        <x:v>decimal</x:v>
      </x:c>
      <x:c r="E36" s="62" t="str"/>
      <x:c r="F36" s="62" t="str">
        <x:v>valor congelable al persistir</x:v>
      </x:c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 t="str">
        <x:v>wacc_financiero_optimistic</x:v>
      </x:c>
      <x:c r="B37" s="76" t="n">
        <x:f>'07_WACC'!L29</x:f>
        <x:v>0</x:v>
      </x:c>
      <x:c r="C37" s="62" t="str">
        <x:v>number</x:v>
      </x:c>
      <x:c r="D37" s="62" t="str">
        <x:v>decimal</x:v>
      </x:c>
      <x:c r="E37" s="62" t="str"/>
      <x:c r="F37" s="62" t="str">
        <x:v>valor congelable al persistir</x:v>
      </x:c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 t="str">
        <x:v>liquidez_conservative</x:v>
      </x:c>
      <x:c r="B38" s="76" t="n">
        <x:f>'07_WACC'!H30</x:f>
        <x:v>0</x:v>
      </x:c>
      <x:c r="C38" s="62" t="str">
        <x:v>number</x:v>
      </x:c>
      <x:c r="D38" s="62" t="str">
        <x:v>decimal</x:v>
      </x:c>
      <x:c r="E38" s="62" t="str"/>
      <x:c r="F38" s="62" t="str">
        <x:v>valor congelable al persistir</x:v>
      </x:c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 t="str">
        <x:v>tamano_conservative</x:v>
      </x:c>
      <x:c r="B39" s="76" t="n">
        <x:f>'07_WACC'!H31</x:f>
        <x:v>0</x:v>
      </x:c>
      <x:c r="C39" s="62" t="str">
        <x:v>number</x:v>
      </x:c>
      <x:c r="D39" s="62" t="str">
        <x:v>decimal</x:v>
      </x:c>
      <x:c r="E39" s="62" t="str"/>
      <x:c r="F39" s="62" t="str">
        <x:v>valor congelable al persistir</x:v>
      </x:c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 t="str">
        <x:v>concentracion_clientes_conservative</x:v>
      </x:c>
      <x:c r="B40" s="76" t="n">
        <x:f>'07_WACC'!H32</x:f>
        <x:v>0</x:v>
      </x:c>
      <x:c r="C40" s="62" t="str">
        <x:v>number</x:v>
      </x:c>
      <x:c r="D40" s="62" t="str">
        <x:v>decimal</x:v>
      </x:c>
      <x:c r="E40" s="62" t="str"/>
      <x:c r="F40" s="62" t="str">
        <x:v>valor congelable al persistir</x:v>
      </x:c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 t="str">
        <x:v>otros_ajustes_conservative</x:v>
      </x:c>
      <x:c r="B41" s="76" t="n">
        <x:f>'07_WACC'!H33</x:f>
        <x:v>0</x:v>
      </x:c>
      <x:c r="C41" s="62" t="str">
        <x:v>number</x:v>
      </x:c>
      <x:c r="D41" s="62" t="str">
        <x:v>decimal</x:v>
      </x:c>
      <x:c r="E41" s="62" t="str"/>
      <x:c r="F41" s="62" t="str">
        <x:v>valor congelable al persistir</x:v>
      </x:c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 t="str">
        <x:v>spread_credito_conservative</x:v>
      </x:c>
      <x:c r="B42" s="76" t="n">
        <x:f>'07_WACC'!H23</x:f>
        <x:v>0</x:v>
      </x:c>
      <x:c r="C42" s="62" t="str">
        <x:v>number</x:v>
      </x:c>
      <x:c r="D42" s="62" t="str">
        <x:v>decimal</x:v>
      </x:c>
      <x:c r="E42" s="62" t="str"/>
      <x:c r="F42" s="62" t="str">
        <x:v>valor congelable al persistir</x:v>
      </x:c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 t="str">
        <x:v>wacc_ajustado_conservative</x:v>
      </x:c>
      <x:c r="B43" s="76" t="n">
        <x:f>'07_WACC'!H35</x:f>
        <x:v>0</x:v>
      </x:c>
      <x:c r="C43" s="62" t="str">
        <x:v>number</x:v>
      </x:c>
      <x:c r="D43" s="62" t="str">
        <x:v>decimal</x:v>
      </x:c>
      <x:c r="E43" s="62" t="str"/>
      <x:c r="F43" s="62" t="str">
        <x:v>valor congelable al persistir</x:v>
      </x:c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 t="str">
        <x:v>liquidez_base</x:v>
      </x:c>
      <x:c r="B44" s="76" t="n">
        <x:f>'07_WACC'!J30</x:f>
        <x:v>0</x:v>
      </x:c>
      <x:c r="C44" s="62" t="str">
        <x:v>number</x:v>
      </x:c>
      <x:c r="D44" s="62" t="str">
        <x:v>decimal</x:v>
      </x:c>
      <x:c r="E44" s="62" t="str"/>
      <x:c r="F44" s="62" t="str">
        <x:v>valor congelable al persistir</x:v>
      </x:c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 t="str">
        <x:v>tamano_base</x:v>
      </x:c>
      <x:c r="B45" s="76" t="n">
        <x:f>'07_WACC'!J31</x:f>
        <x:v>0</x:v>
      </x:c>
      <x:c r="C45" s="62" t="str">
        <x:v>number</x:v>
      </x:c>
      <x:c r="D45" s="62" t="str">
        <x:v>decimal</x:v>
      </x:c>
      <x:c r="E45" s="62" t="str"/>
      <x:c r="F45" s="62" t="str">
        <x:v>valor congelable al persistir</x:v>
      </x:c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 t="str">
        <x:v>concentracion_clientes_base</x:v>
      </x:c>
      <x:c r="B46" s="76" t="n">
        <x:f>'07_WACC'!J32</x:f>
        <x:v>0</x:v>
      </x:c>
      <x:c r="C46" s="62" t="str">
        <x:v>number</x:v>
      </x:c>
      <x:c r="D46" s="62" t="str">
        <x:v>decimal</x:v>
      </x:c>
      <x:c r="E46" s="62" t="str"/>
      <x:c r="F46" s="62" t="str">
        <x:v>valor congelable al persistir</x:v>
      </x:c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 t="str">
        <x:v>otros_ajustes_base</x:v>
      </x:c>
      <x:c r="B47" s="76" t="n">
        <x:f>'07_WACC'!J33</x:f>
        <x:v>0</x:v>
      </x:c>
      <x:c r="C47" s="62" t="str">
        <x:v>number</x:v>
      </x:c>
      <x:c r="D47" s="62" t="str">
        <x:v>decimal</x:v>
      </x:c>
      <x:c r="E47" s="62" t="str"/>
      <x:c r="F47" s="62" t="str">
        <x:v>valor congelable al persistir</x:v>
      </x:c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 t="str">
        <x:v>spread_credito_base</x:v>
      </x:c>
      <x:c r="B48" s="76" t="n">
        <x:f>'07_WACC'!J23</x:f>
        <x:v>0</x:v>
      </x:c>
      <x:c r="C48" s="62" t="str">
        <x:v>number</x:v>
      </x:c>
      <x:c r="D48" s="62" t="str">
        <x:v>decimal</x:v>
      </x:c>
      <x:c r="E48" s="62" t="str"/>
      <x:c r="F48" s="62" t="str">
        <x:v>valor congelable al persistir</x:v>
      </x:c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 t="str">
        <x:v>wacc_ajustado_base</x:v>
      </x:c>
      <x:c r="B49" s="76" t="n">
        <x:f>'07_WACC'!J35</x:f>
        <x:v>0</x:v>
      </x:c>
      <x:c r="C49" s="62" t="str">
        <x:v>number</x:v>
      </x:c>
      <x:c r="D49" s="62" t="str">
        <x:v>decimal</x:v>
      </x:c>
      <x:c r="E49" s="62" t="str"/>
      <x:c r="F49" s="62" t="str">
        <x:v>valor congelable al persistir</x:v>
      </x:c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 t="str">
        <x:v>liquidez_optimistic</x:v>
      </x:c>
      <x:c r="B50" s="76" t="n">
        <x:f>'07_WACC'!L30</x:f>
        <x:v>0</x:v>
      </x:c>
      <x:c r="C50" s="62" t="str">
        <x:v>number</x:v>
      </x:c>
      <x:c r="D50" s="62" t="str">
        <x:v>decimal</x:v>
      </x:c>
      <x:c r="E50" s="62" t="str"/>
      <x:c r="F50" s="62" t="str">
        <x:v>valor congelable al persistir</x:v>
      </x:c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 t="str">
        <x:v>tamano_optimistic</x:v>
      </x:c>
      <x:c r="B51" s="76" t="n">
        <x:f>'07_WACC'!L31</x:f>
        <x:v>0</x:v>
      </x:c>
      <x:c r="C51" s="62" t="str">
        <x:v>number</x:v>
      </x:c>
      <x:c r="D51" s="62" t="str">
        <x:v>decimal</x:v>
      </x:c>
      <x:c r="E51" s="62" t="str"/>
      <x:c r="F51" s="62" t="str">
        <x:v>valor congelable al persistir</x:v>
      </x:c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 t="str">
        <x:v>concentracion_clientes_optimistic</x:v>
      </x:c>
      <x:c r="B52" s="76" t="n">
        <x:f>'07_WACC'!L32</x:f>
        <x:v>0</x:v>
      </x:c>
      <x:c r="C52" s="62" t="str">
        <x:v>number</x:v>
      </x:c>
      <x:c r="D52" s="62" t="str">
        <x:v>decimal</x:v>
      </x:c>
      <x:c r="E52" s="62" t="str"/>
      <x:c r="F52" s="62" t="str">
        <x:v>valor congelable al persistir</x:v>
      </x:c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 t="str">
        <x:v>otros_ajustes_optimistic</x:v>
      </x:c>
      <x:c r="B53" s="76" t="n">
        <x:f>'07_WACC'!L33</x:f>
        <x:v>0</x:v>
      </x:c>
      <x:c r="C53" s="62" t="str">
        <x:v>number</x:v>
      </x:c>
      <x:c r="D53" s="62" t="str">
        <x:v>decimal</x:v>
      </x:c>
      <x:c r="E53" s="62" t="str"/>
      <x:c r="F53" s="62" t="str">
        <x:v>valor congelable al persistir</x:v>
      </x:c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 t="str">
        <x:v>spread_credito_optimistic</x:v>
      </x:c>
      <x:c r="B54" s="76" t="n">
        <x:f>'07_WACC'!L23</x:f>
        <x:v>0</x:v>
      </x:c>
      <x:c r="C54" s="62" t="str">
        <x:v>number</x:v>
      </x:c>
      <x:c r="D54" s="62" t="str">
        <x:v>decimal</x:v>
      </x:c>
      <x:c r="E54" s="62" t="str"/>
      <x:c r="F54" s="62" t="str">
        <x:v>valor congelable al persistir</x:v>
      </x:c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 t="str">
        <x:v>wacc_ajustado_optimistic</x:v>
      </x:c>
      <x:c r="B55" s="76" t="n">
        <x:f>'07_WACC'!L35</x:f>
        <x:v>0</x:v>
      </x:c>
      <x:c r="C55" s="62" t="str">
        <x:v>number</x:v>
      </x:c>
      <x:c r="D55" s="62" t="str">
        <x:v>decimal</x:v>
      </x:c>
      <x:c r="E55" s="62" t="str"/>
      <x:c r="F55" s="62" t="str">
        <x:v>valor congelable al persistir</x:v>
      </x:c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F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12" hidden="0" customWidth="1"/>
    <x:col min="4" max="4" width="14" hidden="0" customWidth="1"/>
    <x:col min="5" max="5" width="16" hidden="0" customWidth="1"/>
    <x:col min="6" max="6" width="12" hidden="0" customWidth="1"/>
    <x:col min="7" max="7" width="24" hidden="0" customWidth="1"/>
    <x:col min="8" max="8" width="22" hidden="0" customWidth="1"/>
    <x:col min="9" max="9" width="16" hidden="0" customWidth="1"/>
    <x:col min="10" max="10" width="12" hidden="0" customWidth="1"/>
    <x:col min="11" max="11" width="24" hidden="0" customWidth="1"/>
    <x:col min="12" max="12" width="28" hidden="0" customWidth="1"/>
  </x:cols>
  <x:sheetData>
    <x:row r="1" ht="28" customHeight="1">
      <x:c r="A1" s="5" t="str">
        <x:v>MAPEO JSON → EXCEL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field_json</x:v>
      </x:c>
      <x:c r="B3" s="22" t="str">
        <x:v>sheet</x:v>
      </x:c>
      <x:c r="C3" s="22" t="str">
        <x:v>cell</x:v>
      </x:c>
      <x:c r="D3" s="22" t="str">
        <x:v>type</x:v>
      </x:c>
      <x:c r="E3" s="22" t="str">
        <x:v>unit</x:v>
      </x:c>
      <x:c r="F3" s="22" t="str">
        <x:v>required</x:v>
      </x:c>
      <x:c r="G3" s="22" t="str">
        <x:v>source_priority</x:v>
      </x:c>
      <x:c r="H3" s="22" t="str">
        <x:v>validation</x:v>
      </x:c>
      <x:c r="I3" s="22" t="str">
        <x:v>min_confidence</x:v>
      </x:c>
      <x:c r="J3" s="22" t="str">
        <x:v>writable</x:v>
      </x:c>
      <x:c r="K3" s="22" t="str">
        <x:v>transformation</x:v>
      </x:c>
      <x:c r="L3" s="22" t="str">
        <x:v>notes</x:v>
      </x:c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4" t="str">
        <x:v>company_id</x:v>
      </x:c>
      <x:c r="B4" s="64" t="str">
        <x:v>01_CONTROL</x:v>
      </x:c>
      <x:c r="C4" s="64" t="str">
        <x:v>B4</x:v>
      </x:c>
      <x:c r="D4" s="64" t="str">
        <x:v>string</x:v>
      </x:c>
      <x:c r="E4" s="64" t="str"/>
      <x:c r="F4" s="64" t="str">
        <x:v>Sí</x:v>
      </x:c>
      <x:c r="G4" s="64" t="str">
        <x:v>API</x:v>
      </x:c>
      <x:c r="H4" s="64" t="str">
        <x:v>no vacío</x:v>
      </x:c>
      <x:c r="I4" s="64" t="str">
        <x:v>MEDIA</x:v>
      </x:c>
      <x:c r="J4" s="64" t="str">
        <x:v>Sí</x:v>
      </x:c>
      <x:c r="K4" s="64" t="str"/>
      <x:c r="L4" s="64" t="str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4" t="str">
        <x:v>instrument_id</x:v>
      </x:c>
      <x:c r="B5" s="64" t="str">
        <x:v>01_CONTROL</x:v>
      </x:c>
      <x:c r="C5" s="64" t="str">
        <x:v>B5</x:v>
      </x:c>
      <x:c r="D5" s="64" t="str">
        <x:v>string</x:v>
      </x:c>
      <x:c r="E5" s="64" t="str"/>
      <x:c r="F5" s="64" t="str">
        <x:v>Sí</x:v>
      </x:c>
      <x:c r="G5" s="64" t="str">
        <x:v>API</x:v>
      </x:c>
      <x:c r="H5" s="64" t="str">
        <x:v>no vacío</x:v>
      </x:c>
      <x:c r="I5" s="64" t="str">
        <x:v>MEDIA</x:v>
      </x:c>
      <x:c r="J5" s="64" t="str">
        <x:v>Sí</x:v>
      </x:c>
      <x:c r="K5" s="64" t="str"/>
      <x:c r="L5" s="64" t="str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4" t="str">
        <x:v>company_name</x:v>
      </x:c>
      <x:c r="B6" s="64" t="str">
        <x:v>01_CONTROL</x:v>
      </x:c>
      <x:c r="C6" s="64" t="str">
        <x:v>B6</x:v>
      </x:c>
      <x:c r="D6" s="64" t="str">
        <x:v>string</x:v>
      </x:c>
      <x:c r="E6" s="64" t="str"/>
      <x:c r="F6" s="64" t="str">
        <x:v>Sí</x:v>
      </x:c>
      <x:c r="G6" s="64" t="str">
        <x:v>API/PDF</x:v>
      </x:c>
      <x:c r="H6" s="64" t="str">
        <x:v>no vacío</x:v>
      </x:c>
      <x:c r="I6" s="64" t="str">
        <x:v>MEDIA</x:v>
      </x:c>
      <x:c r="J6" s="64" t="str">
        <x:v>Sí</x:v>
      </x:c>
      <x:c r="K6" s="64" t="str"/>
      <x:c r="L6" s="64" t="str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4" t="str">
        <x:v>ticker</x:v>
      </x:c>
      <x:c r="B7" s="64" t="str">
        <x:v>01_CONTROL</x:v>
      </x:c>
      <x:c r="C7" s="64" t="str">
        <x:v>B7</x:v>
      </x:c>
      <x:c r="D7" s="64" t="str">
        <x:v>string</x:v>
      </x:c>
      <x:c r="E7" s="64" t="str"/>
      <x:c r="F7" s="64" t="str">
        <x:v>Sí</x:v>
      </x:c>
      <x:c r="G7" s="64" t="str">
        <x:v>API</x:v>
      </x:c>
      <x:c r="H7" s="64" t="str">
        <x:v>no vacío</x:v>
      </x:c>
      <x:c r="I7" s="64" t="str">
        <x:v>MEDIA</x:v>
      </x:c>
      <x:c r="J7" s="64" t="str">
        <x:v>Sí</x:v>
      </x:c>
      <x:c r="K7" s="64" t="str"/>
      <x:c r="L7" s="64" t="str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4" t="str">
        <x:v>isin</x:v>
      </x:c>
      <x:c r="B8" s="64" t="str">
        <x:v>01_CONTROL</x:v>
      </x:c>
      <x:c r="C8" s="64" t="str">
        <x:v>B8</x:v>
      </x:c>
      <x:c r="D8" s="64" t="str">
        <x:v>string</x:v>
      </x:c>
      <x:c r="E8" s="64" t="str"/>
      <x:c r="F8" s="64" t="str">
        <x:v>No</x:v>
      </x:c>
      <x:c r="G8" s="64" t="str">
        <x:v>API</x:v>
      </x:c>
      <x:c r="H8" s="64" t="str">
        <x:v>ISIN</x:v>
      </x:c>
      <x:c r="I8" s="64" t="str">
        <x:v>MEDIA</x:v>
      </x:c>
      <x:c r="J8" s="64" t="str">
        <x:v>Sí</x:v>
      </x:c>
      <x:c r="K8" s="64" t="str"/>
      <x:c r="L8" s="64" t="str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4" t="str">
        <x:v>market</x:v>
      </x:c>
      <x:c r="B9" s="64" t="str">
        <x:v>01_CONTROL</x:v>
      </x:c>
      <x:c r="C9" s="64" t="str">
        <x:v>B9</x:v>
      </x:c>
      <x:c r="D9" s="64" t="str">
        <x:v>enum</x:v>
      </x:c>
      <x:c r="E9" s="64" t="str"/>
      <x:c r="F9" s="64" t="str">
        <x:v>Sí</x:v>
      </x:c>
      <x:c r="G9" s="64" t="str">
        <x:v>API</x:v>
      </x:c>
      <x:c r="H9" s="64" t="str">
        <x:v>lista</x:v>
      </x:c>
      <x:c r="I9" s="64" t="str">
        <x:v>ALTA</x:v>
      </x:c>
      <x:c r="J9" s="64" t="str">
        <x:v>Sí</x:v>
      </x:c>
      <x:c r="K9" s="64" t="str">
        <x:v>normalizar mercado</x:v>
      </x:c>
      <x:c r="L9" s="64" t="str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4" t="str">
        <x:v>currency</x:v>
      </x:c>
      <x:c r="B10" s="64" t="str">
        <x:v>01_CONTROL</x:v>
      </x:c>
      <x:c r="C10" s="64" t="str">
        <x:v>B10</x:v>
      </x:c>
      <x:c r="D10" s="64" t="str">
        <x:v>string</x:v>
      </x:c>
      <x:c r="E10" s="64" t="str">
        <x:v>ISO 4217</x:v>
      </x:c>
      <x:c r="F10" s="64" t="str">
        <x:v>Sí</x:v>
      </x:c>
      <x:c r="G10" s="64" t="str">
        <x:v>API/PDF</x:v>
      </x:c>
      <x:c r="H10" s="64" t="str">
        <x:v>3 letras</x:v>
      </x:c>
      <x:c r="I10" s="64" t="str">
        <x:v>ALTA</x:v>
      </x:c>
      <x:c r="J10" s="64" t="str">
        <x:v>Sí</x:v>
      </x:c>
      <x:c r="K10" s="64" t="str"/>
      <x:c r="L10" s="64" t="str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4" t="str">
        <x:v>valuation_date</x:v>
      </x:c>
      <x:c r="B11" s="64" t="str">
        <x:v>01_CONTROL</x:v>
      </x:c>
      <x:c r="C11" s="64" t="str">
        <x:v>B11</x:v>
      </x:c>
      <x:c r="D11" s="64" t="str">
        <x:v>date</x:v>
      </x:c>
      <x:c r="E11" s="64" t="str">
        <x:v>AAAA-MM-DD</x:v>
      </x:c>
      <x:c r="F11" s="64" t="str">
        <x:v>Sí</x:v>
      </x:c>
      <x:c r="G11" s="64" t="str">
        <x:v>sistema</x:v>
      </x:c>
      <x:c r="H11" s="64" t="str">
        <x:v>fecha válida</x:v>
      </x:c>
      <x:c r="I11" s="64" t="str">
        <x:v>ALTA</x:v>
      </x:c>
      <x:c r="J11" s="64" t="str">
        <x:v>Sí</x:v>
      </x:c>
      <x:c r="K11" s="64" t="str"/>
      <x:c r="L11" s="64" t="str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4" t="str">
        <x:v>price_per_share</x:v>
      </x:c>
      <x:c r="B12" s="64" t="str">
        <x:v>01_CONTROL</x:v>
      </x:c>
      <x:c r="C12" s="64" t="str">
        <x:v>B12</x:v>
      </x:c>
      <x:c r="D12" s="64" t="str">
        <x:v>number</x:v>
      </x:c>
      <x:c r="E12" s="64" t="str">
        <x:v>moneda/acción</x:v>
      </x:c>
      <x:c r="F12" s="64" t="str">
        <x:v>Sí</x:v>
      </x:c>
      <x:c r="G12" s="64" t="str">
        <x:v>API precio</x:v>
      </x:c>
      <x:c r="H12" s="64" t="str">
        <x:v>&gt;0</x:v>
      </x:c>
      <x:c r="I12" s="64" t="str">
        <x:v>ALTA</x:v>
      </x:c>
      <x:c r="J12" s="64" t="str">
        <x:v>Sí</x:v>
      </x:c>
      <x:c r="K12" s="64" t="str"/>
      <x:c r="L12" s="64" t="str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4" t="str">
        <x:v>diluted_shares</x:v>
      </x:c>
      <x:c r="B13" s="64" t="str">
        <x:v>01_CONTROL</x:v>
      </x:c>
      <x:c r="C13" s="64" t="str">
        <x:v>B13</x:v>
      </x:c>
      <x:c r="D13" s="64" t="str">
        <x:v>number</x:v>
      </x:c>
      <x:c r="E13" s="64" t="str">
        <x:v>millones</x:v>
      </x:c>
      <x:c r="F13" s="64" t="str">
        <x:v>Sí</x:v>
      </x:c>
      <x:c r="G13" s="64" t="str">
        <x:v>filing</x:v>
      </x:c>
      <x:c r="H13" s="64" t="str">
        <x:v>&gt;0</x:v>
      </x:c>
      <x:c r="I13" s="64" t="str">
        <x:v>MEDIA</x:v>
      </x:c>
      <x:c r="J13" s="64" t="str">
        <x:v>Sí</x:v>
      </x:c>
      <x:c r="K13" s="64" t="str">
        <x:v>ajustar unidad</x:v>
      </x:c>
      <x:c r="L13" s="64" t="str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4" t="str">
        <x:v>gross_debt_fy0</x:v>
      </x:c>
      <x:c r="B14" s="64" t="str">
        <x:v>01_CONTROL</x:v>
      </x:c>
      <x:c r="C14" s="64" t="str">
        <x:v>B14</x:v>
      </x:c>
      <x:c r="D14" s="64" t="str">
        <x:v>number</x:v>
      </x:c>
      <x:c r="E14" s="64" t="str">
        <x:v>millones</x:v>
      </x:c>
      <x:c r="F14" s="64" t="str">
        <x:v>Sí</x:v>
      </x:c>
      <x:c r="G14" s="64" t="str">
        <x:v>balance</x:v>
      </x:c>
      <x:c r="H14" s="64" t="str">
        <x:v>&gt;=0</x:v>
      </x:c>
      <x:c r="I14" s="64" t="str">
        <x:v>MEDIA</x:v>
      </x:c>
      <x:c r="J14" s="64" t="str">
        <x:v>Sí</x:v>
      </x:c>
      <x:c r="K14" s="64" t="str">
        <x:v>deuda bruta</x:v>
      </x:c>
      <x:c r="L14" s="64" t="str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4" t="str">
        <x:v>cash_fy0</x:v>
      </x:c>
      <x:c r="B15" s="64" t="str">
        <x:v>01_CONTROL</x:v>
      </x:c>
      <x:c r="C15" s="64" t="str">
        <x:v>B15</x:v>
      </x:c>
      <x:c r="D15" s="64" t="str">
        <x:v>number</x:v>
      </x:c>
      <x:c r="E15" s="64" t="str">
        <x:v>millones</x:v>
      </x:c>
      <x:c r="F15" s="64" t="str">
        <x:v>Sí</x:v>
      </x:c>
      <x:c r="G15" s="64" t="str">
        <x:v>balance</x:v>
      </x:c>
      <x:c r="H15" s="64" t="str">
        <x:v>&gt;=0</x:v>
      </x:c>
      <x:c r="I15" s="64" t="str">
        <x:v>MEDIA</x:v>
      </x:c>
      <x:c r="J15" s="64" t="str">
        <x:v>Sí</x:v>
      </x:c>
      <x:c r="K15" s="64" t="str"/>
      <x:c r="L15" s="64" t="str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4" t="str">
        <x:v>minority_interest_fy0</x:v>
      </x:c>
      <x:c r="B16" s="64" t="str">
        <x:v>01_CONTROL</x:v>
      </x:c>
      <x:c r="C16" s="64" t="str">
        <x:v>B16</x:v>
      </x:c>
      <x:c r="D16" s="64" t="str">
        <x:v>number</x:v>
      </x:c>
      <x:c r="E16" s="64" t="str">
        <x:v>millones</x:v>
      </x:c>
      <x:c r="F16" s="64" t="str">
        <x:v>No</x:v>
      </x:c>
      <x:c r="G16" s="64" t="str">
        <x:v>balance/notas</x:v>
      </x:c>
      <x:c r="H16" s="64" t="str">
        <x:v>&gt;=0</x:v>
      </x:c>
      <x:c r="I16" s="64" t="str">
        <x:v>MEDIA</x:v>
      </x:c>
      <x:c r="J16" s="64" t="str">
        <x:v>Sí</x:v>
      </x:c>
      <x:c r="K16" s="64" t="str"/>
      <x:c r="L16" s="64" t="str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4" t="str">
        <x:v>data_version</x:v>
      </x:c>
      <x:c r="B17" s="64" t="str">
        <x:v>01_CONTROL</x:v>
      </x:c>
      <x:c r="C17" s="64" t="str">
        <x:v>B19</x:v>
      </x:c>
      <x:c r="D17" s="64" t="str">
        <x:v>string</x:v>
      </x:c>
      <x:c r="E17" s="64" t="str"/>
      <x:c r="F17" s="64" t="str">
        <x:v>Sí</x:v>
      </x:c>
      <x:c r="G17" s="64" t="str">
        <x:v>backend</x:v>
      </x:c>
      <x:c r="H17" s="64" t="str">
        <x:v>no vacío</x:v>
      </x:c>
      <x:c r="I17" s="64" t="str">
        <x:v>ALTA</x:v>
      </x:c>
      <x:c r="J17" s="64" t="str">
        <x:v>Sí</x:v>
      </x:c>
      <x:c r="K17" s="64" t="str"/>
      <x:c r="L17" s="64" t="str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4" t="str">
        <x:v>confidence</x:v>
      </x:c>
      <x:c r="B18" s="64" t="str">
        <x:v>01_CONTROL</x:v>
      </x:c>
      <x:c r="C18" s="64" t="str">
        <x:v>B20</x:v>
      </x:c>
      <x:c r="D18" s="64" t="str">
        <x:v>enum</x:v>
      </x:c>
      <x:c r="E18" s="64" t="str"/>
      <x:c r="F18" s="64" t="str">
        <x:v>Sí</x:v>
      </x:c>
      <x:c r="G18" s="64" t="str">
        <x:v>motor calidad</x:v>
      </x:c>
      <x:c r="H18" s="64" t="str">
        <x:v>lista</x:v>
      </x:c>
      <x:c r="I18" s="64" t="str">
        <x:v>MEDIA</x:v>
      </x:c>
      <x:c r="J18" s="64" t="str">
        <x:v>Sí</x:v>
      </x:c>
      <x:c r="K18" s="64" t="str"/>
      <x:c r="L18" s="64" t="str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4" t="str">
        <x:v>fiscal_year_fy3</x:v>
      </x:c>
      <x:c r="B19" s="64" t="str">
        <x:v>02_DATOS_RAW</x:v>
      </x:c>
      <x:c r="C19" s="64" t="str">
        <x:v>B4</x:v>
      </x:c>
      <x:c r="D19" s="64" t="str">
        <x:v>number</x:v>
      </x:c>
      <x:c r="E19" s="64" t="str">
        <x:v>millones</x:v>
      </x:c>
      <x:c r="F19" s="64" t="str">
        <x:v>No</x:v>
      </x:c>
      <x:c r="G19" s="64" t="str">
        <x:v>filing/API</x:v>
      </x:c>
      <x:c r="H19" s="64" t="str">
        <x:v>coherencia</x:v>
      </x:c>
      <x:c r="I19" s="64" t="str">
        <x:v>MEDIA</x:v>
      </x:c>
      <x:c r="J19" s="64" t="str">
        <x:v>Sí</x:v>
      </x:c>
      <x:c r="K19" s="64" t="str">
        <x:v>aplicar multiplicador</x:v>
      </x:c>
      <x:c r="L19" s="64" t="str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4" t="str">
        <x:v>fiscal_year_fy2</x:v>
      </x:c>
      <x:c r="B20" s="64" t="str">
        <x:v>02_DATOS_RAW</x:v>
      </x:c>
      <x:c r="C20" s="64" t="str">
        <x:v>C4</x:v>
      </x:c>
      <x:c r="D20" s="64" t="str">
        <x:v>number</x:v>
      </x:c>
      <x:c r="E20" s="64" t="str">
        <x:v>millones</x:v>
      </x:c>
      <x:c r="F20" s="64" t="str">
        <x:v>No</x:v>
      </x:c>
      <x:c r="G20" s="64" t="str">
        <x:v>filing/API</x:v>
      </x:c>
      <x:c r="H20" s="64" t="str">
        <x:v>coherencia</x:v>
      </x:c>
      <x:c r="I20" s="64" t="str">
        <x:v>MEDIA</x:v>
      </x:c>
      <x:c r="J20" s="64" t="str">
        <x:v>Sí</x:v>
      </x:c>
      <x:c r="K20" s="64" t="str">
        <x:v>aplicar multiplicador</x:v>
      </x:c>
      <x:c r="L20" s="64" t="str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4" t="str">
        <x:v>fiscal_year_fy1</x:v>
      </x:c>
      <x:c r="B21" s="64" t="str">
        <x:v>02_DATOS_RAW</x:v>
      </x:c>
      <x:c r="C21" s="64" t="str">
        <x:v>D4</x:v>
      </x:c>
      <x:c r="D21" s="64" t="str">
        <x:v>number</x:v>
      </x:c>
      <x:c r="E21" s="64" t="str">
        <x:v>millones</x:v>
      </x:c>
      <x:c r="F21" s="64" t="str">
        <x:v>No</x:v>
      </x:c>
      <x:c r="G21" s="64" t="str">
        <x:v>filing/API</x:v>
      </x:c>
      <x:c r="H21" s="64" t="str">
        <x:v>coherencia</x:v>
      </x:c>
      <x:c r="I21" s="64" t="str">
        <x:v>MEDIA</x:v>
      </x:c>
      <x:c r="J21" s="64" t="str">
        <x:v>Sí</x:v>
      </x:c>
      <x:c r="K21" s="64" t="str">
        <x:v>aplicar multiplicador</x:v>
      </x:c>
      <x:c r="L21" s="64" t="str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4" t="str">
        <x:v>fiscal_year_fy0</x:v>
      </x:c>
      <x:c r="B22" s="64" t="str">
        <x:v>02_DATOS_RAW</x:v>
      </x:c>
      <x:c r="C22" s="64" t="str">
        <x:v>E4</x:v>
      </x:c>
      <x:c r="D22" s="64" t="str">
        <x:v>number</x:v>
      </x:c>
      <x:c r="E22" s="64" t="str">
        <x:v>millones</x:v>
      </x:c>
      <x:c r="F22" s="64" t="str">
        <x:v>No</x:v>
      </x:c>
      <x:c r="G22" s="64" t="str">
        <x:v>filing/API</x:v>
      </x:c>
      <x:c r="H22" s="64" t="str">
        <x:v>coherencia</x:v>
      </x:c>
      <x:c r="I22" s="64" t="str">
        <x:v>MEDIA</x:v>
      </x:c>
      <x:c r="J22" s="64" t="str">
        <x:v>Sí</x:v>
      </x:c>
      <x:c r="K22" s="64" t="str">
        <x:v>aplicar multiplicador</x:v>
      </x:c>
      <x:c r="L22" s="64" t="str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4" t="str">
        <x:v>revenue_fy3</x:v>
      </x:c>
      <x:c r="B23" s="64" t="str">
        <x:v>02_DATOS_RAW</x:v>
      </x:c>
      <x:c r="C23" s="64" t="str">
        <x:v>B5</x:v>
      </x:c>
      <x:c r="D23" s="64" t="str">
        <x:v>number</x:v>
      </x:c>
      <x:c r="E23" s="64" t="str">
        <x:v>millones</x:v>
      </x:c>
      <x:c r="F23" s="64" t="str">
        <x:v>No</x:v>
      </x:c>
      <x:c r="G23" s="64" t="str">
        <x:v>filing/API</x:v>
      </x:c>
      <x:c r="H23" s="64" t="str">
        <x:v>coherencia</x:v>
      </x:c>
      <x:c r="I23" s="64" t="str">
        <x:v>MEDIA</x:v>
      </x:c>
      <x:c r="J23" s="64" t="str">
        <x:v>Sí</x:v>
      </x:c>
      <x:c r="K23" s="64" t="str">
        <x:v>aplicar multiplicador</x:v>
      </x:c>
      <x:c r="L23" s="64" t="str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4" t="str">
        <x:v>revenue_fy2</x:v>
      </x:c>
      <x:c r="B24" s="64" t="str">
        <x:v>02_DATOS_RAW</x:v>
      </x:c>
      <x:c r="C24" s="64" t="str">
        <x:v>C5</x:v>
      </x:c>
      <x:c r="D24" s="64" t="str">
        <x:v>number</x:v>
      </x:c>
      <x:c r="E24" s="64" t="str">
        <x:v>millones</x:v>
      </x:c>
      <x:c r="F24" s="64" t="str">
        <x:v>No</x:v>
      </x:c>
      <x:c r="G24" s="64" t="str">
        <x:v>filing/API</x:v>
      </x:c>
      <x:c r="H24" s="64" t="str">
        <x:v>coherencia</x:v>
      </x:c>
      <x:c r="I24" s="64" t="str">
        <x:v>MEDIA</x:v>
      </x:c>
      <x:c r="J24" s="64" t="str">
        <x:v>Sí</x:v>
      </x:c>
      <x:c r="K24" s="64" t="str">
        <x:v>aplicar multiplicador</x:v>
      </x:c>
      <x:c r="L24" s="64" t="str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4" t="str">
        <x:v>revenue_fy1</x:v>
      </x:c>
      <x:c r="B25" s="64" t="str">
        <x:v>02_DATOS_RAW</x:v>
      </x:c>
      <x:c r="C25" s="64" t="str">
        <x:v>D5</x:v>
      </x:c>
      <x:c r="D25" s="64" t="str">
        <x:v>number</x:v>
      </x:c>
      <x:c r="E25" s="64" t="str">
        <x:v>millones</x:v>
      </x:c>
      <x:c r="F25" s="64" t="str">
        <x:v>No</x:v>
      </x:c>
      <x:c r="G25" s="64" t="str">
        <x:v>filing/API</x:v>
      </x:c>
      <x:c r="H25" s="64" t="str">
        <x:v>coherencia</x:v>
      </x:c>
      <x:c r="I25" s="64" t="str">
        <x:v>MEDIA</x:v>
      </x:c>
      <x:c r="J25" s="64" t="str">
        <x:v>Sí</x:v>
      </x:c>
      <x:c r="K25" s="64" t="str">
        <x:v>aplicar multiplicador</x:v>
      </x:c>
      <x:c r="L25" s="64" t="str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4" t="str">
        <x:v>revenue_fy0</x:v>
      </x:c>
      <x:c r="B26" s="64" t="str">
        <x:v>02_DATOS_RAW</x:v>
      </x:c>
      <x:c r="C26" s="64" t="str">
        <x:v>E5</x:v>
      </x:c>
      <x:c r="D26" s="64" t="str">
        <x:v>number</x:v>
      </x:c>
      <x:c r="E26" s="64" t="str">
        <x:v>millones</x:v>
      </x:c>
      <x:c r="F26" s="64" t="str">
        <x:v>No</x:v>
      </x:c>
      <x:c r="G26" s="64" t="str">
        <x:v>filing/API</x:v>
      </x:c>
      <x:c r="H26" s="64" t="str">
        <x:v>coherencia</x:v>
      </x:c>
      <x:c r="I26" s="64" t="str">
        <x:v>MEDIA</x:v>
      </x:c>
      <x:c r="J26" s="64" t="str">
        <x:v>Sí</x:v>
      </x:c>
      <x:c r="K26" s="64" t="str">
        <x:v>aplicar multiplicador</x:v>
      </x:c>
      <x:c r="L26" s="64" t="str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4" t="str">
        <x:v>ebitda_fy3</x:v>
      </x:c>
      <x:c r="B27" s="64" t="str">
        <x:v>02_DATOS_RAW</x:v>
      </x:c>
      <x:c r="C27" s="64" t="str">
        <x:v>B6</x:v>
      </x:c>
      <x:c r="D27" s="64" t="str">
        <x:v>number</x:v>
      </x:c>
      <x:c r="E27" s="64" t="str">
        <x:v>millones</x:v>
      </x:c>
      <x:c r="F27" s="64" t="str">
        <x:v>No</x:v>
      </x:c>
      <x:c r="G27" s="64" t="str">
        <x:v>filing/API</x:v>
      </x:c>
      <x:c r="H27" s="64" t="str">
        <x:v>coherencia</x:v>
      </x:c>
      <x:c r="I27" s="64" t="str">
        <x:v>MEDIA</x:v>
      </x:c>
      <x:c r="J27" s="64" t="str">
        <x:v>Sí</x:v>
      </x:c>
      <x:c r="K27" s="64" t="str">
        <x:v>aplicar multiplicador</x:v>
      </x:c>
      <x:c r="L27" s="64" t="str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4" t="str">
        <x:v>ebitda_fy2</x:v>
      </x:c>
      <x:c r="B28" s="64" t="str">
        <x:v>02_DATOS_RAW</x:v>
      </x:c>
      <x:c r="C28" s="64" t="str">
        <x:v>C6</x:v>
      </x:c>
      <x:c r="D28" s="64" t="str">
        <x:v>number</x:v>
      </x:c>
      <x:c r="E28" s="64" t="str">
        <x:v>millones</x:v>
      </x:c>
      <x:c r="F28" s="64" t="str">
        <x:v>No</x:v>
      </x:c>
      <x:c r="G28" s="64" t="str">
        <x:v>filing/API</x:v>
      </x:c>
      <x:c r="H28" s="64" t="str">
        <x:v>coherencia</x:v>
      </x:c>
      <x:c r="I28" s="64" t="str">
        <x:v>MEDIA</x:v>
      </x:c>
      <x:c r="J28" s="64" t="str">
        <x:v>Sí</x:v>
      </x:c>
      <x:c r="K28" s="64" t="str">
        <x:v>aplicar multiplicador</x:v>
      </x:c>
      <x:c r="L28" s="64" t="str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4" t="str">
        <x:v>ebitda_fy1</x:v>
      </x:c>
      <x:c r="B29" s="64" t="str">
        <x:v>02_DATOS_RAW</x:v>
      </x:c>
      <x:c r="C29" s="64" t="str">
        <x:v>D6</x:v>
      </x:c>
      <x:c r="D29" s="64" t="str">
        <x:v>number</x:v>
      </x:c>
      <x:c r="E29" s="64" t="str">
        <x:v>millones</x:v>
      </x:c>
      <x:c r="F29" s="64" t="str">
        <x:v>No</x:v>
      </x:c>
      <x:c r="G29" s="64" t="str">
        <x:v>filing/API</x:v>
      </x:c>
      <x:c r="H29" s="64" t="str">
        <x:v>coherencia</x:v>
      </x:c>
      <x:c r="I29" s="64" t="str">
        <x:v>MEDIA</x:v>
      </x:c>
      <x:c r="J29" s="64" t="str">
        <x:v>Sí</x:v>
      </x:c>
      <x:c r="K29" s="64" t="str">
        <x:v>aplicar multiplicador</x:v>
      </x:c>
      <x:c r="L29" s="64" t="str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4" t="str">
        <x:v>ebitda_fy0</x:v>
      </x:c>
      <x:c r="B30" s="64" t="str">
        <x:v>02_DATOS_RAW</x:v>
      </x:c>
      <x:c r="C30" s="64" t="str">
        <x:v>E6</x:v>
      </x:c>
      <x:c r="D30" s="64" t="str">
        <x:v>number</x:v>
      </x:c>
      <x:c r="E30" s="64" t="str">
        <x:v>millones</x:v>
      </x:c>
      <x:c r="F30" s="64" t="str">
        <x:v>No</x:v>
      </x:c>
      <x:c r="G30" s="64" t="str">
        <x:v>filing/API</x:v>
      </x:c>
      <x:c r="H30" s="64" t="str">
        <x:v>coherencia</x:v>
      </x:c>
      <x:c r="I30" s="64" t="str">
        <x:v>MEDIA</x:v>
      </x:c>
      <x:c r="J30" s="64" t="str">
        <x:v>Sí</x:v>
      </x:c>
      <x:c r="K30" s="64" t="str">
        <x:v>aplicar multiplicador</x:v>
      </x:c>
      <x:c r="L30" s="64" t="str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4" t="str">
        <x:v>ebit_fy3</x:v>
      </x:c>
      <x:c r="B31" s="64" t="str">
        <x:v>02_DATOS_RAW</x:v>
      </x:c>
      <x:c r="C31" s="64" t="str">
        <x:v>B7</x:v>
      </x:c>
      <x:c r="D31" s="64" t="str">
        <x:v>number</x:v>
      </x:c>
      <x:c r="E31" s="64" t="str">
        <x:v>millones</x:v>
      </x:c>
      <x:c r="F31" s="64" t="str">
        <x:v>No</x:v>
      </x:c>
      <x:c r="G31" s="64" t="str">
        <x:v>filing/API</x:v>
      </x:c>
      <x:c r="H31" s="64" t="str">
        <x:v>coherencia</x:v>
      </x:c>
      <x:c r="I31" s="64" t="str">
        <x:v>MEDIA</x:v>
      </x:c>
      <x:c r="J31" s="64" t="str">
        <x:v>Sí</x:v>
      </x:c>
      <x:c r="K31" s="64" t="str">
        <x:v>aplicar multiplicador</x:v>
      </x:c>
      <x:c r="L31" s="64" t="str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4" t="str">
        <x:v>ebit_fy2</x:v>
      </x:c>
      <x:c r="B32" s="64" t="str">
        <x:v>02_DATOS_RAW</x:v>
      </x:c>
      <x:c r="C32" s="64" t="str">
        <x:v>C7</x:v>
      </x:c>
      <x:c r="D32" s="64" t="str">
        <x:v>number</x:v>
      </x:c>
      <x:c r="E32" s="64" t="str">
        <x:v>millones</x:v>
      </x:c>
      <x:c r="F32" s="64" t="str">
        <x:v>No</x:v>
      </x:c>
      <x:c r="G32" s="64" t="str">
        <x:v>filing/API</x:v>
      </x:c>
      <x:c r="H32" s="64" t="str">
        <x:v>coherencia</x:v>
      </x:c>
      <x:c r="I32" s="64" t="str">
        <x:v>MEDIA</x:v>
      </x:c>
      <x:c r="J32" s="64" t="str">
        <x:v>Sí</x:v>
      </x:c>
      <x:c r="K32" s="64" t="str">
        <x:v>aplicar multiplicador</x:v>
      </x:c>
      <x:c r="L32" s="64" t="str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4" t="str">
        <x:v>ebit_fy1</x:v>
      </x:c>
      <x:c r="B33" s="64" t="str">
        <x:v>02_DATOS_RAW</x:v>
      </x:c>
      <x:c r="C33" s="64" t="str">
        <x:v>D7</x:v>
      </x:c>
      <x:c r="D33" s="64" t="str">
        <x:v>number</x:v>
      </x:c>
      <x:c r="E33" s="64" t="str">
        <x:v>millones</x:v>
      </x:c>
      <x:c r="F33" s="64" t="str">
        <x:v>No</x:v>
      </x:c>
      <x:c r="G33" s="64" t="str">
        <x:v>filing/API</x:v>
      </x:c>
      <x:c r="H33" s="64" t="str">
        <x:v>coherencia</x:v>
      </x:c>
      <x:c r="I33" s="64" t="str">
        <x:v>MEDIA</x:v>
      </x:c>
      <x:c r="J33" s="64" t="str">
        <x:v>Sí</x:v>
      </x:c>
      <x:c r="K33" s="64" t="str">
        <x:v>aplicar multiplicador</x:v>
      </x:c>
      <x:c r="L33" s="64" t="str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4" t="str">
        <x:v>ebit_fy0</x:v>
      </x:c>
      <x:c r="B34" s="64" t="str">
        <x:v>02_DATOS_RAW</x:v>
      </x:c>
      <x:c r="C34" s="64" t="str">
        <x:v>E7</x:v>
      </x:c>
      <x:c r="D34" s="64" t="str">
        <x:v>number</x:v>
      </x:c>
      <x:c r="E34" s="64" t="str">
        <x:v>millones</x:v>
      </x:c>
      <x:c r="F34" s="64" t="str">
        <x:v>No</x:v>
      </x:c>
      <x:c r="G34" s="64" t="str">
        <x:v>filing/API</x:v>
      </x:c>
      <x:c r="H34" s="64" t="str">
        <x:v>coherencia</x:v>
      </x:c>
      <x:c r="I34" s="64" t="str">
        <x:v>MEDIA</x:v>
      </x:c>
      <x:c r="J34" s="64" t="str">
        <x:v>Sí</x:v>
      </x:c>
      <x:c r="K34" s="64" t="str">
        <x:v>aplicar multiplicador</x:v>
      </x:c>
      <x:c r="L34" s="64" t="str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4" t="str">
        <x:v>net_income_fy3</x:v>
      </x:c>
      <x:c r="B35" s="64" t="str">
        <x:v>02_DATOS_RAW</x:v>
      </x:c>
      <x:c r="C35" s="64" t="str">
        <x:v>B8</x:v>
      </x:c>
      <x:c r="D35" s="64" t="str">
        <x:v>number</x:v>
      </x:c>
      <x:c r="E35" s="64" t="str">
        <x:v>millones</x:v>
      </x:c>
      <x:c r="F35" s="64" t="str">
        <x:v>No</x:v>
      </x:c>
      <x:c r="G35" s="64" t="str">
        <x:v>filing/API</x:v>
      </x:c>
      <x:c r="H35" s="64" t="str">
        <x:v>coherencia</x:v>
      </x:c>
      <x:c r="I35" s="64" t="str">
        <x:v>MEDIA</x:v>
      </x:c>
      <x:c r="J35" s="64" t="str">
        <x:v>Sí</x:v>
      </x:c>
      <x:c r="K35" s="64" t="str">
        <x:v>aplicar multiplicador</x:v>
      </x:c>
      <x:c r="L35" s="64" t="str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4" t="str">
        <x:v>net_income_fy2</x:v>
      </x:c>
      <x:c r="B36" s="64" t="str">
        <x:v>02_DATOS_RAW</x:v>
      </x:c>
      <x:c r="C36" s="64" t="str">
        <x:v>C8</x:v>
      </x:c>
      <x:c r="D36" s="64" t="str">
        <x:v>number</x:v>
      </x:c>
      <x:c r="E36" s="64" t="str">
        <x:v>millones</x:v>
      </x:c>
      <x:c r="F36" s="64" t="str">
        <x:v>No</x:v>
      </x:c>
      <x:c r="G36" s="64" t="str">
        <x:v>filing/API</x:v>
      </x:c>
      <x:c r="H36" s="64" t="str">
        <x:v>coherencia</x:v>
      </x:c>
      <x:c r="I36" s="64" t="str">
        <x:v>MEDIA</x:v>
      </x:c>
      <x:c r="J36" s="64" t="str">
        <x:v>Sí</x:v>
      </x:c>
      <x:c r="K36" s="64" t="str">
        <x:v>aplicar multiplicador</x:v>
      </x:c>
      <x:c r="L36" s="64" t="str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4" t="str">
        <x:v>net_income_fy1</x:v>
      </x:c>
      <x:c r="B37" s="64" t="str">
        <x:v>02_DATOS_RAW</x:v>
      </x:c>
      <x:c r="C37" s="64" t="str">
        <x:v>D8</x:v>
      </x:c>
      <x:c r="D37" s="64" t="str">
        <x:v>number</x:v>
      </x:c>
      <x:c r="E37" s="64" t="str">
        <x:v>millones</x:v>
      </x:c>
      <x:c r="F37" s="64" t="str">
        <x:v>No</x:v>
      </x:c>
      <x:c r="G37" s="64" t="str">
        <x:v>filing/API</x:v>
      </x:c>
      <x:c r="H37" s="64" t="str">
        <x:v>coherencia</x:v>
      </x:c>
      <x:c r="I37" s="64" t="str">
        <x:v>MEDIA</x:v>
      </x:c>
      <x:c r="J37" s="64" t="str">
        <x:v>Sí</x:v>
      </x:c>
      <x:c r="K37" s="64" t="str">
        <x:v>aplicar multiplicador</x:v>
      </x:c>
      <x:c r="L37" s="64" t="str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4" t="str">
        <x:v>net_income_fy0</x:v>
      </x:c>
      <x:c r="B38" s="64" t="str">
        <x:v>02_DATOS_RAW</x:v>
      </x:c>
      <x:c r="C38" s="64" t="str">
        <x:v>E8</x:v>
      </x:c>
      <x:c r="D38" s="64" t="str">
        <x:v>number</x:v>
      </x:c>
      <x:c r="E38" s="64" t="str">
        <x:v>millones</x:v>
      </x:c>
      <x:c r="F38" s="64" t="str">
        <x:v>No</x:v>
      </x:c>
      <x:c r="G38" s="64" t="str">
        <x:v>filing/API</x:v>
      </x:c>
      <x:c r="H38" s="64" t="str">
        <x:v>coherencia</x:v>
      </x:c>
      <x:c r="I38" s="64" t="str">
        <x:v>MEDIA</x:v>
      </x:c>
      <x:c r="J38" s="64" t="str">
        <x:v>Sí</x:v>
      </x:c>
      <x:c r="K38" s="64" t="str">
        <x:v>aplicar multiplicador</x:v>
      </x:c>
      <x:c r="L38" s="64" t="str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4" t="str">
        <x:v>taxes_paid_fy3</x:v>
      </x:c>
      <x:c r="B39" s="64" t="str">
        <x:v>02_DATOS_RAW</x:v>
      </x:c>
      <x:c r="C39" s="64" t="str">
        <x:v>B9</x:v>
      </x:c>
      <x:c r="D39" s="64" t="str">
        <x:v>number</x:v>
      </x:c>
      <x:c r="E39" s="64" t="str">
        <x:v>millones</x:v>
      </x:c>
      <x:c r="F39" s="64" t="str">
        <x:v>No</x:v>
      </x:c>
      <x:c r="G39" s="64" t="str">
        <x:v>filing/API</x:v>
      </x:c>
      <x:c r="H39" s="64" t="str">
        <x:v>coherencia</x:v>
      </x:c>
      <x:c r="I39" s="64" t="str">
        <x:v>MEDIA</x:v>
      </x:c>
      <x:c r="J39" s="64" t="str">
        <x:v>Sí</x:v>
      </x:c>
      <x:c r="K39" s="64" t="str">
        <x:v>aplicar multiplicador</x:v>
      </x:c>
      <x:c r="L39" s="64" t="str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4" t="str">
        <x:v>taxes_paid_fy2</x:v>
      </x:c>
      <x:c r="B40" s="64" t="str">
        <x:v>02_DATOS_RAW</x:v>
      </x:c>
      <x:c r="C40" s="64" t="str">
        <x:v>C9</x:v>
      </x:c>
      <x:c r="D40" s="64" t="str">
        <x:v>number</x:v>
      </x:c>
      <x:c r="E40" s="64" t="str">
        <x:v>millones</x:v>
      </x:c>
      <x:c r="F40" s="64" t="str">
        <x:v>No</x:v>
      </x:c>
      <x:c r="G40" s="64" t="str">
        <x:v>filing/API</x:v>
      </x:c>
      <x:c r="H40" s="64" t="str">
        <x:v>coherencia</x:v>
      </x:c>
      <x:c r="I40" s="64" t="str">
        <x:v>MEDIA</x:v>
      </x:c>
      <x:c r="J40" s="64" t="str">
        <x:v>Sí</x:v>
      </x:c>
      <x:c r="K40" s="64" t="str">
        <x:v>aplicar multiplicador</x:v>
      </x:c>
      <x:c r="L40" s="64" t="str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4" t="str">
        <x:v>taxes_paid_fy1</x:v>
      </x:c>
      <x:c r="B41" s="64" t="str">
        <x:v>02_DATOS_RAW</x:v>
      </x:c>
      <x:c r="C41" s="64" t="str">
        <x:v>D9</x:v>
      </x:c>
      <x:c r="D41" s="64" t="str">
        <x:v>number</x:v>
      </x:c>
      <x:c r="E41" s="64" t="str">
        <x:v>millones</x:v>
      </x:c>
      <x:c r="F41" s="64" t="str">
        <x:v>No</x:v>
      </x:c>
      <x:c r="G41" s="64" t="str">
        <x:v>filing/API</x:v>
      </x:c>
      <x:c r="H41" s="64" t="str">
        <x:v>coherencia</x:v>
      </x:c>
      <x:c r="I41" s="64" t="str">
        <x:v>MEDIA</x:v>
      </x:c>
      <x:c r="J41" s="64" t="str">
        <x:v>Sí</x:v>
      </x:c>
      <x:c r="K41" s="64" t="str">
        <x:v>aplicar multiplicador</x:v>
      </x:c>
      <x:c r="L41" s="64" t="str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4" t="str">
        <x:v>taxes_paid_fy0</x:v>
      </x:c>
      <x:c r="B42" s="64" t="str">
        <x:v>02_DATOS_RAW</x:v>
      </x:c>
      <x:c r="C42" s="64" t="str">
        <x:v>E9</x:v>
      </x:c>
      <x:c r="D42" s="64" t="str">
        <x:v>number</x:v>
      </x:c>
      <x:c r="E42" s="64" t="str">
        <x:v>millones</x:v>
      </x:c>
      <x:c r="F42" s="64" t="str">
        <x:v>No</x:v>
      </x:c>
      <x:c r="G42" s="64" t="str">
        <x:v>filing/API</x:v>
      </x:c>
      <x:c r="H42" s="64" t="str">
        <x:v>coherencia</x:v>
      </x:c>
      <x:c r="I42" s="64" t="str">
        <x:v>MEDIA</x:v>
      </x:c>
      <x:c r="J42" s="64" t="str">
        <x:v>Sí</x:v>
      </x:c>
      <x:c r="K42" s="64" t="str">
        <x:v>aplicar multiplicador</x:v>
      </x:c>
      <x:c r="L42" s="64" t="str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4" t="str">
        <x:v>da_fy3</x:v>
      </x:c>
      <x:c r="B43" s="64" t="str">
        <x:v>02_DATOS_RAW</x:v>
      </x:c>
      <x:c r="C43" s="64" t="str">
        <x:v>B10</x:v>
      </x:c>
      <x:c r="D43" s="64" t="str">
        <x:v>number</x:v>
      </x:c>
      <x:c r="E43" s="64" t="str">
        <x:v>millones</x:v>
      </x:c>
      <x:c r="F43" s="64" t="str">
        <x:v>No</x:v>
      </x:c>
      <x:c r="G43" s="64" t="str">
        <x:v>filing/API</x:v>
      </x:c>
      <x:c r="H43" s="64" t="str">
        <x:v>coherencia</x:v>
      </x:c>
      <x:c r="I43" s="64" t="str">
        <x:v>MEDIA</x:v>
      </x:c>
      <x:c r="J43" s="64" t="str">
        <x:v>Sí</x:v>
      </x:c>
      <x:c r="K43" s="64" t="str">
        <x:v>aplicar multiplicador</x:v>
      </x:c>
      <x:c r="L43" s="64" t="str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4" t="str">
        <x:v>da_fy2</x:v>
      </x:c>
      <x:c r="B44" s="64" t="str">
        <x:v>02_DATOS_RAW</x:v>
      </x:c>
      <x:c r="C44" s="64" t="str">
        <x:v>C10</x:v>
      </x:c>
      <x:c r="D44" s="64" t="str">
        <x:v>number</x:v>
      </x:c>
      <x:c r="E44" s="64" t="str">
        <x:v>millones</x:v>
      </x:c>
      <x:c r="F44" s="64" t="str">
        <x:v>No</x:v>
      </x:c>
      <x:c r="G44" s="64" t="str">
        <x:v>filing/API</x:v>
      </x:c>
      <x:c r="H44" s="64" t="str">
        <x:v>coherencia</x:v>
      </x:c>
      <x:c r="I44" s="64" t="str">
        <x:v>MEDIA</x:v>
      </x:c>
      <x:c r="J44" s="64" t="str">
        <x:v>Sí</x:v>
      </x:c>
      <x:c r="K44" s="64" t="str">
        <x:v>aplicar multiplicador</x:v>
      </x:c>
      <x:c r="L44" s="64" t="str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4" t="str">
        <x:v>da_fy1</x:v>
      </x:c>
      <x:c r="B45" s="64" t="str">
        <x:v>02_DATOS_RAW</x:v>
      </x:c>
      <x:c r="C45" s="64" t="str">
        <x:v>D10</x:v>
      </x:c>
      <x:c r="D45" s="64" t="str">
        <x:v>number</x:v>
      </x:c>
      <x:c r="E45" s="64" t="str">
        <x:v>millones</x:v>
      </x:c>
      <x:c r="F45" s="64" t="str">
        <x:v>No</x:v>
      </x:c>
      <x:c r="G45" s="64" t="str">
        <x:v>filing/API</x:v>
      </x:c>
      <x:c r="H45" s="64" t="str">
        <x:v>coherencia</x:v>
      </x:c>
      <x:c r="I45" s="64" t="str">
        <x:v>MEDIA</x:v>
      </x:c>
      <x:c r="J45" s="64" t="str">
        <x:v>Sí</x:v>
      </x:c>
      <x:c r="K45" s="64" t="str">
        <x:v>aplicar multiplicador</x:v>
      </x:c>
      <x:c r="L45" s="64" t="str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4" t="str">
        <x:v>da_fy0</x:v>
      </x:c>
      <x:c r="B46" s="64" t="str">
        <x:v>02_DATOS_RAW</x:v>
      </x:c>
      <x:c r="C46" s="64" t="str">
        <x:v>E10</x:v>
      </x:c>
      <x:c r="D46" s="64" t="str">
        <x:v>number</x:v>
      </x:c>
      <x:c r="E46" s="64" t="str">
        <x:v>millones</x:v>
      </x:c>
      <x:c r="F46" s="64" t="str">
        <x:v>No</x:v>
      </x:c>
      <x:c r="G46" s="64" t="str">
        <x:v>filing/API</x:v>
      </x:c>
      <x:c r="H46" s="64" t="str">
        <x:v>coherencia</x:v>
      </x:c>
      <x:c r="I46" s="64" t="str">
        <x:v>MEDIA</x:v>
      </x:c>
      <x:c r="J46" s="64" t="str">
        <x:v>Sí</x:v>
      </x:c>
      <x:c r="K46" s="64" t="str">
        <x:v>aplicar multiplicador</x:v>
      </x:c>
      <x:c r="L46" s="64" t="str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4" t="str">
        <x:v>capex_fy3</x:v>
      </x:c>
      <x:c r="B47" s="64" t="str">
        <x:v>02_DATOS_RAW</x:v>
      </x:c>
      <x:c r="C47" s="64" t="str">
        <x:v>B11</x:v>
      </x:c>
      <x:c r="D47" s="64" t="str">
        <x:v>number</x:v>
      </x:c>
      <x:c r="E47" s="64" t="str">
        <x:v>millones</x:v>
      </x:c>
      <x:c r="F47" s="64" t="str">
        <x:v>No</x:v>
      </x:c>
      <x:c r="G47" s="64" t="str">
        <x:v>filing/API</x:v>
      </x:c>
      <x:c r="H47" s="64" t="str">
        <x:v>coherencia</x:v>
      </x:c>
      <x:c r="I47" s="64" t="str">
        <x:v>MEDIA</x:v>
      </x:c>
      <x:c r="J47" s="64" t="str">
        <x:v>Sí</x:v>
      </x:c>
      <x:c r="K47" s="64" t="str">
        <x:v>aplicar multiplicador</x:v>
      </x:c>
      <x:c r="L47" s="64" t="str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4" t="str">
        <x:v>capex_fy2</x:v>
      </x:c>
      <x:c r="B48" s="64" t="str">
        <x:v>02_DATOS_RAW</x:v>
      </x:c>
      <x:c r="C48" s="64" t="str">
        <x:v>C11</x:v>
      </x:c>
      <x:c r="D48" s="64" t="str">
        <x:v>number</x:v>
      </x:c>
      <x:c r="E48" s="64" t="str">
        <x:v>millones</x:v>
      </x:c>
      <x:c r="F48" s="64" t="str">
        <x:v>No</x:v>
      </x:c>
      <x:c r="G48" s="64" t="str">
        <x:v>filing/API</x:v>
      </x:c>
      <x:c r="H48" s="64" t="str">
        <x:v>coherencia</x:v>
      </x:c>
      <x:c r="I48" s="64" t="str">
        <x:v>MEDIA</x:v>
      </x:c>
      <x:c r="J48" s="64" t="str">
        <x:v>Sí</x:v>
      </x:c>
      <x:c r="K48" s="64" t="str">
        <x:v>aplicar multiplicador</x:v>
      </x:c>
      <x:c r="L48" s="64" t="str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4" t="str">
        <x:v>capex_fy1</x:v>
      </x:c>
      <x:c r="B49" s="64" t="str">
        <x:v>02_DATOS_RAW</x:v>
      </x:c>
      <x:c r="C49" s="64" t="str">
        <x:v>D11</x:v>
      </x:c>
      <x:c r="D49" s="64" t="str">
        <x:v>number</x:v>
      </x:c>
      <x:c r="E49" s="64" t="str">
        <x:v>millones</x:v>
      </x:c>
      <x:c r="F49" s="64" t="str">
        <x:v>No</x:v>
      </x:c>
      <x:c r="G49" s="64" t="str">
        <x:v>filing/API</x:v>
      </x:c>
      <x:c r="H49" s="64" t="str">
        <x:v>coherencia</x:v>
      </x:c>
      <x:c r="I49" s="64" t="str">
        <x:v>MEDIA</x:v>
      </x:c>
      <x:c r="J49" s="64" t="str">
        <x:v>Sí</x:v>
      </x:c>
      <x:c r="K49" s="64" t="str">
        <x:v>aplicar multiplicador</x:v>
      </x:c>
      <x:c r="L49" s="64" t="str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4" t="str">
        <x:v>capex_fy0</x:v>
      </x:c>
      <x:c r="B50" s="64" t="str">
        <x:v>02_DATOS_RAW</x:v>
      </x:c>
      <x:c r="C50" s="64" t="str">
        <x:v>E11</x:v>
      </x:c>
      <x:c r="D50" s="64" t="str">
        <x:v>number</x:v>
      </x:c>
      <x:c r="E50" s="64" t="str">
        <x:v>millones</x:v>
      </x:c>
      <x:c r="F50" s="64" t="str">
        <x:v>No</x:v>
      </x:c>
      <x:c r="G50" s="64" t="str">
        <x:v>filing/API</x:v>
      </x:c>
      <x:c r="H50" s="64" t="str">
        <x:v>coherencia</x:v>
      </x:c>
      <x:c r="I50" s="64" t="str">
        <x:v>MEDIA</x:v>
      </x:c>
      <x:c r="J50" s="64" t="str">
        <x:v>Sí</x:v>
      </x:c>
      <x:c r="K50" s="64" t="str">
        <x:v>aplicar multiplicador</x:v>
      </x:c>
      <x:c r="L50" s="64" t="str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4" t="str">
        <x:v>change_nwc_fy3</x:v>
      </x:c>
      <x:c r="B51" s="64" t="str">
        <x:v>02_DATOS_RAW</x:v>
      </x:c>
      <x:c r="C51" s="64" t="str">
        <x:v>B12</x:v>
      </x:c>
      <x:c r="D51" s="64" t="str">
        <x:v>number</x:v>
      </x:c>
      <x:c r="E51" s="64" t="str">
        <x:v>millones</x:v>
      </x:c>
      <x:c r="F51" s="64" t="str">
        <x:v>No</x:v>
      </x:c>
      <x:c r="G51" s="64" t="str">
        <x:v>filing/API</x:v>
      </x:c>
      <x:c r="H51" s="64" t="str">
        <x:v>coherencia</x:v>
      </x:c>
      <x:c r="I51" s="64" t="str">
        <x:v>MEDIA</x:v>
      </x:c>
      <x:c r="J51" s="64" t="str">
        <x:v>Sí</x:v>
      </x:c>
      <x:c r="K51" s="64" t="str">
        <x:v>aplicar multiplicador</x:v>
      </x:c>
      <x:c r="L51" s="64" t="str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4" t="str">
        <x:v>change_nwc_fy2</x:v>
      </x:c>
      <x:c r="B52" s="64" t="str">
        <x:v>02_DATOS_RAW</x:v>
      </x:c>
      <x:c r="C52" s="64" t="str">
        <x:v>C12</x:v>
      </x:c>
      <x:c r="D52" s="64" t="str">
        <x:v>number</x:v>
      </x:c>
      <x:c r="E52" s="64" t="str">
        <x:v>millones</x:v>
      </x:c>
      <x:c r="F52" s="64" t="str">
        <x:v>No</x:v>
      </x:c>
      <x:c r="G52" s="64" t="str">
        <x:v>filing/API</x:v>
      </x:c>
      <x:c r="H52" s="64" t="str">
        <x:v>coherencia</x:v>
      </x:c>
      <x:c r="I52" s="64" t="str">
        <x:v>MEDIA</x:v>
      </x:c>
      <x:c r="J52" s="64" t="str">
        <x:v>Sí</x:v>
      </x:c>
      <x:c r="K52" s="64" t="str">
        <x:v>aplicar multiplicador</x:v>
      </x:c>
      <x:c r="L52" s="64" t="str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4" t="str">
        <x:v>change_nwc_fy1</x:v>
      </x:c>
      <x:c r="B53" s="64" t="str">
        <x:v>02_DATOS_RAW</x:v>
      </x:c>
      <x:c r="C53" s="64" t="str">
        <x:v>D12</x:v>
      </x:c>
      <x:c r="D53" s="64" t="str">
        <x:v>number</x:v>
      </x:c>
      <x:c r="E53" s="64" t="str">
        <x:v>millones</x:v>
      </x:c>
      <x:c r="F53" s="64" t="str">
        <x:v>No</x:v>
      </x:c>
      <x:c r="G53" s="64" t="str">
        <x:v>filing/API</x:v>
      </x:c>
      <x:c r="H53" s="64" t="str">
        <x:v>coherencia</x:v>
      </x:c>
      <x:c r="I53" s="64" t="str">
        <x:v>MEDIA</x:v>
      </x:c>
      <x:c r="J53" s="64" t="str">
        <x:v>Sí</x:v>
      </x:c>
      <x:c r="K53" s="64" t="str">
        <x:v>aplicar multiplicador</x:v>
      </x:c>
      <x:c r="L53" s="64" t="str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4" t="str">
        <x:v>change_nwc_fy0</x:v>
      </x:c>
      <x:c r="B54" s="64" t="str">
        <x:v>02_DATOS_RAW</x:v>
      </x:c>
      <x:c r="C54" s="64" t="str">
        <x:v>E12</x:v>
      </x:c>
      <x:c r="D54" s="64" t="str">
        <x:v>number</x:v>
      </x:c>
      <x:c r="E54" s="64" t="str">
        <x:v>millones</x:v>
      </x:c>
      <x:c r="F54" s="64" t="str">
        <x:v>No</x:v>
      </x:c>
      <x:c r="G54" s="64" t="str">
        <x:v>filing/API</x:v>
      </x:c>
      <x:c r="H54" s="64" t="str">
        <x:v>coherencia</x:v>
      </x:c>
      <x:c r="I54" s="64" t="str">
        <x:v>MEDIA</x:v>
      </x:c>
      <x:c r="J54" s="64" t="str">
        <x:v>Sí</x:v>
      </x:c>
      <x:c r="K54" s="64" t="str">
        <x:v>aplicar multiplicador</x:v>
      </x:c>
      <x:c r="L54" s="64" t="str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4" t="str">
        <x:v>operating_cash_flow_fy3</x:v>
      </x:c>
      <x:c r="B55" s="64" t="str">
        <x:v>02_DATOS_RAW</x:v>
      </x:c>
      <x:c r="C55" s="64" t="str">
        <x:v>B13</x:v>
      </x:c>
      <x:c r="D55" s="64" t="str">
        <x:v>number</x:v>
      </x:c>
      <x:c r="E55" s="64" t="str">
        <x:v>millones</x:v>
      </x:c>
      <x:c r="F55" s="64" t="str">
        <x:v>No</x:v>
      </x:c>
      <x:c r="G55" s="64" t="str">
        <x:v>filing/API</x:v>
      </x:c>
      <x:c r="H55" s="64" t="str">
        <x:v>coherencia</x:v>
      </x:c>
      <x:c r="I55" s="64" t="str">
        <x:v>MEDIA</x:v>
      </x:c>
      <x:c r="J55" s="64" t="str">
        <x:v>Sí</x:v>
      </x:c>
      <x:c r="K55" s="64" t="str">
        <x:v>aplicar multiplicador</x:v>
      </x:c>
      <x:c r="L55" s="64" t="str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4" t="str">
        <x:v>operating_cash_flow_fy2</x:v>
      </x:c>
      <x:c r="B56" s="64" t="str">
        <x:v>02_DATOS_RAW</x:v>
      </x:c>
      <x:c r="C56" s="64" t="str">
        <x:v>C13</x:v>
      </x:c>
      <x:c r="D56" s="64" t="str">
        <x:v>number</x:v>
      </x:c>
      <x:c r="E56" s="64" t="str">
        <x:v>millones</x:v>
      </x:c>
      <x:c r="F56" s="64" t="str">
        <x:v>No</x:v>
      </x:c>
      <x:c r="G56" s="64" t="str">
        <x:v>filing/API</x:v>
      </x:c>
      <x:c r="H56" s="64" t="str">
        <x:v>coherencia</x:v>
      </x:c>
      <x:c r="I56" s="64" t="str">
        <x:v>MEDIA</x:v>
      </x:c>
      <x:c r="J56" s="64" t="str">
        <x:v>Sí</x:v>
      </x:c>
      <x:c r="K56" s="64" t="str">
        <x:v>aplicar multiplicador</x:v>
      </x:c>
      <x:c r="L56" s="64" t="str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4" t="str">
        <x:v>operating_cash_flow_fy1</x:v>
      </x:c>
      <x:c r="B57" s="64" t="str">
        <x:v>02_DATOS_RAW</x:v>
      </x:c>
      <x:c r="C57" s="64" t="str">
        <x:v>D13</x:v>
      </x:c>
      <x:c r="D57" s="64" t="str">
        <x:v>number</x:v>
      </x:c>
      <x:c r="E57" s="64" t="str">
        <x:v>millones</x:v>
      </x:c>
      <x:c r="F57" s="64" t="str">
        <x:v>No</x:v>
      </x:c>
      <x:c r="G57" s="64" t="str">
        <x:v>filing/API</x:v>
      </x:c>
      <x:c r="H57" s="64" t="str">
        <x:v>coherencia</x:v>
      </x:c>
      <x:c r="I57" s="64" t="str">
        <x:v>MEDIA</x:v>
      </x:c>
      <x:c r="J57" s="64" t="str">
        <x:v>Sí</x:v>
      </x:c>
      <x:c r="K57" s="64" t="str">
        <x:v>aplicar multiplicador</x:v>
      </x:c>
      <x:c r="L57" s="64" t="str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4" t="str">
        <x:v>operating_cash_flow_fy0</x:v>
      </x:c>
      <x:c r="B58" s="64" t="str">
        <x:v>02_DATOS_RAW</x:v>
      </x:c>
      <x:c r="C58" s="64" t="str">
        <x:v>E13</x:v>
      </x:c>
      <x:c r="D58" s="64" t="str">
        <x:v>number</x:v>
      </x:c>
      <x:c r="E58" s="64" t="str">
        <x:v>millones</x:v>
      </x:c>
      <x:c r="F58" s="64" t="str">
        <x:v>No</x:v>
      </x:c>
      <x:c r="G58" s="64" t="str">
        <x:v>filing/API</x:v>
      </x:c>
      <x:c r="H58" s="64" t="str">
        <x:v>coherencia</x:v>
      </x:c>
      <x:c r="I58" s="64" t="str">
        <x:v>MEDIA</x:v>
      </x:c>
      <x:c r="J58" s="64" t="str">
        <x:v>Sí</x:v>
      </x:c>
      <x:c r="K58" s="64" t="str">
        <x:v>aplicar multiplicador</x:v>
      </x:c>
      <x:c r="L58" s="64" t="str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4" t="str">
        <x:v>free_cash_flow_fy3</x:v>
      </x:c>
      <x:c r="B59" s="64" t="str">
        <x:v>02_DATOS_RAW</x:v>
      </x:c>
      <x:c r="C59" s="64" t="str">
        <x:v>B14</x:v>
      </x:c>
      <x:c r="D59" s="64" t="str">
        <x:v>number</x:v>
      </x:c>
      <x:c r="E59" s="64" t="str">
        <x:v>millones</x:v>
      </x:c>
      <x:c r="F59" s="64" t="str">
        <x:v>No</x:v>
      </x:c>
      <x:c r="G59" s="64" t="str">
        <x:v>filing/API</x:v>
      </x:c>
      <x:c r="H59" s="64" t="str">
        <x:v>coherencia</x:v>
      </x:c>
      <x:c r="I59" s="64" t="str">
        <x:v>MEDIA</x:v>
      </x:c>
      <x:c r="J59" s="64" t="str">
        <x:v>Sí</x:v>
      </x:c>
      <x:c r="K59" s="64" t="str">
        <x:v>aplicar multiplicador</x:v>
      </x:c>
      <x:c r="L59" s="64" t="str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4" t="str">
        <x:v>free_cash_flow_fy2</x:v>
      </x:c>
      <x:c r="B60" s="64" t="str">
        <x:v>02_DATOS_RAW</x:v>
      </x:c>
      <x:c r="C60" s="64" t="str">
        <x:v>C14</x:v>
      </x:c>
      <x:c r="D60" s="64" t="str">
        <x:v>number</x:v>
      </x:c>
      <x:c r="E60" s="64" t="str">
        <x:v>millones</x:v>
      </x:c>
      <x:c r="F60" s="64" t="str">
        <x:v>No</x:v>
      </x:c>
      <x:c r="G60" s="64" t="str">
        <x:v>filing/API</x:v>
      </x:c>
      <x:c r="H60" s="64" t="str">
        <x:v>coherencia</x:v>
      </x:c>
      <x:c r="I60" s="64" t="str">
        <x:v>MEDIA</x:v>
      </x:c>
      <x:c r="J60" s="64" t="str">
        <x:v>Sí</x:v>
      </x:c>
      <x:c r="K60" s="64" t="str">
        <x:v>aplicar multiplicador</x:v>
      </x:c>
      <x:c r="L60" s="64" t="str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4" t="str">
        <x:v>free_cash_flow_fy1</x:v>
      </x:c>
      <x:c r="B61" s="64" t="str">
        <x:v>02_DATOS_RAW</x:v>
      </x:c>
      <x:c r="C61" s="64" t="str">
        <x:v>D14</x:v>
      </x:c>
      <x:c r="D61" s="64" t="str">
        <x:v>number</x:v>
      </x:c>
      <x:c r="E61" s="64" t="str">
        <x:v>millones</x:v>
      </x:c>
      <x:c r="F61" s="64" t="str">
        <x:v>No</x:v>
      </x:c>
      <x:c r="G61" s="64" t="str">
        <x:v>filing/API</x:v>
      </x:c>
      <x:c r="H61" s="64" t="str">
        <x:v>coherencia</x:v>
      </x:c>
      <x:c r="I61" s="64" t="str">
        <x:v>MEDIA</x:v>
      </x:c>
      <x:c r="J61" s="64" t="str">
        <x:v>Sí</x:v>
      </x:c>
      <x:c r="K61" s="64" t="str">
        <x:v>aplicar multiplicador</x:v>
      </x:c>
      <x:c r="L61" s="64" t="str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4" t="str">
        <x:v>free_cash_flow_fy0</x:v>
      </x:c>
      <x:c r="B62" s="64" t="str">
        <x:v>02_DATOS_RAW</x:v>
      </x:c>
      <x:c r="C62" s="64" t="str">
        <x:v>E14</x:v>
      </x:c>
      <x:c r="D62" s="64" t="str">
        <x:v>number</x:v>
      </x:c>
      <x:c r="E62" s="64" t="str">
        <x:v>millones</x:v>
      </x:c>
      <x:c r="F62" s="64" t="str">
        <x:v>No</x:v>
      </x:c>
      <x:c r="G62" s="64" t="str">
        <x:v>filing/API</x:v>
      </x:c>
      <x:c r="H62" s="64" t="str">
        <x:v>coherencia</x:v>
      </x:c>
      <x:c r="I62" s="64" t="str">
        <x:v>MEDIA</x:v>
      </x:c>
      <x:c r="J62" s="64" t="str">
        <x:v>Sí</x:v>
      </x:c>
      <x:c r="K62" s="64" t="str">
        <x:v>aplicar multiplicador</x:v>
      </x:c>
      <x:c r="L62" s="64" t="str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4" t="str">
        <x:v>cash_fy3</x:v>
      </x:c>
      <x:c r="B63" s="64" t="str">
        <x:v>02_DATOS_RAW</x:v>
      </x:c>
      <x:c r="C63" s="64" t="str">
        <x:v>B15</x:v>
      </x:c>
      <x:c r="D63" s="64" t="str">
        <x:v>number</x:v>
      </x:c>
      <x:c r="E63" s="64" t="str">
        <x:v>millones</x:v>
      </x:c>
      <x:c r="F63" s="64" t="str">
        <x:v>No</x:v>
      </x:c>
      <x:c r="G63" s="64" t="str">
        <x:v>filing/API</x:v>
      </x:c>
      <x:c r="H63" s="64" t="str">
        <x:v>coherencia</x:v>
      </x:c>
      <x:c r="I63" s="64" t="str">
        <x:v>MEDIA</x:v>
      </x:c>
      <x:c r="J63" s="64" t="str">
        <x:v>Sí</x:v>
      </x:c>
      <x:c r="K63" s="64" t="str">
        <x:v>aplicar multiplicador</x:v>
      </x:c>
      <x:c r="L63" s="64" t="str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4" t="str">
        <x:v>cash_fy2</x:v>
      </x:c>
      <x:c r="B64" s="64" t="str">
        <x:v>02_DATOS_RAW</x:v>
      </x:c>
      <x:c r="C64" s="64" t="str">
        <x:v>C15</x:v>
      </x:c>
      <x:c r="D64" s="64" t="str">
        <x:v>number</x:v>
      </x:c>
      <x:c r="E64" s="64" t="str">
        <x:v>millones</x:v>
      </x:c>
      <x:c r="F64" s="64" t="str">
        <x:v>No</x:v>
      </x:c>
      <x:c r="G64" s="64" t="str">
        <x:v>filing/API</x:v>
      </x:c>
      <x:c r="H64" s="64" t="str">
        <x:v>coherencia</x:v>
      </x:c>
      <x:c r="I64" s="64" t="str">
        <x:v>MEDIA</x:v>
      </x:c>
      <x:c r="J64" s="64" t="str">
        <x:v>Sí</x:v>
      </x:c>
      <x:c r="K64" s="64" t="str">
        <x:v>aplicar multiplicador</x:v>
      </x:c>
      <x:c r="L64" s="64" t="str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4" t="str">
        <x:v>cash_fy1</x:v>
      </x:c>
      <x:c r="B65" s="64" t="str">
        <x:v>02_DATOS_RAW</x:v>
      </x:c>
      <x:c r="C65" s="64" t="str">
        <x:v>D15</x:v>
      </x:c>
      <x:c r="D65" s="64" t="str">
        <x:v>number</x:v>
      </x:c>
      <x:c r="E65" s="64" t="str">
        <x:v>millones</x:v>
      </x:c>
      <x:c r="F65" s="64" t="str">
        <x:v>No</x:v>
      </x:c>
      <x:c r="G65" s="64" t="str">
        <x:v>filing/API</x:v>
      </x:c>
      <x:c r="H65" s="64" t="str">
        <x:v>coherencia</x:v>
      </x:c>
      <x:c r="I65" s="64" t="str">
        <x:v>MEDIA</x:v>
      </x:c>
      <x:c r="J65" s="64" t="str">
        <x:v>Sí</x:v>
      </x:c>
      <x:c r="K65" s="64" t="str">
        <x:v>aplicar multiplicador</x:v>
      </x:c>
      <x:c r="L65" s="64" t="str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4" t="str">
        <x:v>cash_fy0</x:v>
      </x:c>
      <x:c r="B66" s="64" t="str">
        <x:v>02_DATOS_RAW</x:v>
      </x:c>
      <x:c r="C66" s="64" t="str">
        <x:v>E15</x:v>
      </x:c>
      <x:c r="D66" s="64" t="str">
        <x:v>number</x:v>
      </x:c>
      <x:c r="E66" s="64" t="str">
        <x:v>millones</x:v>
      </x:c>
      <x:c r="F66" s="64" t="str">
        <x:v>No</x:v>
      </x:c>
      <x:c r="G66" s="64" t="str">
        <x:v>filing/API</x:v>
      </x:c>
      <x:c r="H66" s="64" t="str">
        <x:v>coherencia</x:v>
      </x:c>
      <x:c r="I66" s="64" t="str">
        <x:v>MEDIA</x:v>
      </x:c>
      <x:c r="J66" s="64" t="str">
        <x:v>Sí</x:v>
      </x:c>
      <x:c r="K66" s="64" t="str">
        <x:v>aplicar multiplicador</x:v>
      </x:c>
      <x:c r="L66" s="64" t="str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4" t="str">
        <x:v>gross_debt_fy3</x:v>
      </x:c>
      <x:c r="B67" s="64" t="str">
        <x:v>02_DATOS_RAW</x:v>
      </x:c>
      <x:c r="C67" s="64" t="str">
        <x:v>B16</x:v>
      </x:c>
      <x:c r="D67" s="64" t="str">
        <x:v>number</x:v>
      </x:c>
      <x:c r="E67" s="64" t="str">
        <x:v>millones</x:v>
      </x:c>
      <x:c r="F67" s="64" t="str">
        <x:v>No</x:v>
      </x:c>
      <x:c r="G67" s="64" t="str">
        <x:v>filing/API</x:v>
      </x:c>
      <x:c r="H67" s="64" t="str">
        <x:v>coherencia</x:v>
      </x:c>
      <x:c r="I67" s="64" t="str">
        <x:v>MEDIA</x:v>
      </x:c>
      <x:c r="J67" s="64" t="str">
        <x:v>Sí</x:v>
      </x:c>
      <x:c r="K67" s="64" t="str">
        <x:v>aplicar multiplicador</x:v>
      </x:c>
      <x:c r="L67" s="64" t="str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4" t="str">
        <x:v>gross_debt_fy2</x:v>
      </x:c>
      <x:c r="B68" s="64" t="str">
        <x:v>02_DATOS_RAW</x:v>
      </x:c>
      <x:c r="C68" s="64" t="str">
        <x:v>C16</x:v>
      </x:c>
      <x:c r="D68" s="64" t="str">
        <x:v>number</x:v>
      </x:c>
      <x:c r="E68" s="64" t="str">
        <x:v>millones</x:v>
      </x:c>
      <x:c r="F68" s="64" t="str">
        <x:v>No</x:v>
      </x:c>
      <x:c r="G68" s="64" t="str">
        <x:v>filing/API</x:v>
      </x:c>
      <x:c r="H68" s="64" t="str">
        <x:v>coherencia</x:v>
      </x:c>
      <x:c r="I68" s="64" t="str">
        <x:v>MEDIA</x:v>
      </x:c>
      <x:c r="J68" s="64" t="str">
        <x:v>Sí</x:v>
      </x:c>
      <x:c r="K68" s="64" t="str">
        <x:v>aplicar multiplicador</x:v>
      </x:c>
      <x:c r="L68" s="64" t="str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4" t="str">
        <x:v>gross_debt_fy1</x:v>
      </x:c>
      <x:c r="B69" s="64" t="str">
        <x:v>02_DATOS_RAW</x:v>
      </x:c>
      <x:c r="C69" s="64" t="str">
        <x:v>D16</x:v>
      </x:c>
      <x:c r="D69" s="64" t="str">
        <x:v>number</x:v>
      </x:c>
      <x:c r="E69" s="64" t="str">
        <x:v>millones</x:v>
      </x:c>
      <x:c r="F69" s="64" t="str">
        <x:v>No</x:v>
      </x:c>
      <x:c r="G69" s="64" t="str">
        <x:v>filing/API</x:v>
      </x:c>
      <x:c r="H69" s="64" t="str">
        <x:v>coherencia</x:v>
      </x:c>
      <x:c r="I69" s="64" t="str">
        <x:v>MEDIA</x:v>
      </x:c>
      <x:c r="J69" s="64" t="str">
        <x:v>Sí</x:v>
      </x:c>
      <x:c r="K69" s="64" t="str">
        <x:v>aplicar multiplicador</x:v>
      </x:c>
      <x:c r="L69" s="64" t="str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4" t="str">
        <x:v>gross_debt_fy0</x:v>
      </x:c>
      <x:c r="B70" s="64" t="str">
        <x:v>02_DATOS_RAW</x:v>
      </x:c>
      <x:c r="C70" s="64" t="str">
        <x:v>E16</x:v>
      </x:c>
      <x:c r="D70" s="64" t="str">
        <x:v>number</x:v>
      </x:c>
      <x:c r="E70" s="64" t="str">
        <x:v>millones</x:v>
      </x:c>
      <x:c r="F70" s="64" t="str">
        <x:v>No</x:v>
      </x:c>
      <x:c r="G70" s="64" t="str">
        <x:v>filing/API</x:v>
      </x:c>
      <x:c r="H70" s="64" t="str">
        <x:v>coherencia</x:v>
      </x:c>
      <x:c r="I70" s="64" t="str">
        <x:v>MEDIA</x:v>
      </x:c>
      <x:c r="J70" s="64" t="str">
        <x:v>Sí</x:v>
      </x:c>
      <x:c r="K70" s="64" t="str">
        <x:v>aplicar multiplicador</x:v>
      </x:c>
      <x:c r="L70" s="64" t="str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4" t="str">
        <x:v>equity_fy3</x:v>
      </x:c>
      <x:c r="B71" s="64" t="str">
        <x:v>02_DATOS_RAW</x:v>
      </x:c>
      <x:c r="C71" s="64" t="str">
        <x:v>B17</x:v>
      </x:c>
      <x:c r="D71" s="64" t="str">
        <x:v>number</x:v>
      </x:c>
      <x:c r="E71" s="64" t="str">
        <x:v>millones</x:v>
      </x:c>
      <x:c r="F71" s="64" t="str">
        <x:v>No</x:v>
      </x:c>
      <x:c r="G71" s="64" t="str">
        <x:v>filing/API</x:v>
      </x:c>
      <x:c r="H71" s="64" t="str">
        <x:v>coherencia</x:v>
      </x:c>
      <x:c r="I71" s="64" t="str">
        <x:v>MEDIA</x:v>
      </x:c>
      <x:c r="J71" s="64" t="str">
        <x:v>Sí</x:v>
      </x:c>
      <x:c r="K71" s="64" t="str">
        <x:v>aplicar multiplicador</x:v>
      </x:c>
      <x:c r="L71" s="64" t="str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4" t="str">
        <x:v>equity_fy2</x:v>
      </x:c>
      <x:c r="B72" s="64" t="str">
        <x:v>02_DATOS_RAW</x:v>
      </x:c>
      <x:c r="C72" s="64" t="str">
        <x:v>C17</x:v>
      </x:c>
      <x:c r="D72" s="64" t="str">
        <x:v>number</x:v>
      </x:c>
      <x:c r="E72" s="64" t="str">
        <x:v>millones</x:v>
      </x:c>
      <x:c r="F72" s="64" t="str">
        <x:v>No</x:v>
      </x:c>
      <x:c r="G72" s="64" t="str">
        <x:v>filing/API</x:v>
      </x:c>
      <x:c r="H72" s="64" t="str">
        <x:v>coherencia</x:v>
      </x:c>
      <x:c r="I72" s="64" t="str">
        <x:v>MEDIA</x:v>
      </x:c>
      <x:c r="J72" s="64" t="str">
        <x:v>Sí</x:v>
      </x:c>
      <x:c r="K72" s="64" t="str">
        <x:v>aplicar multiplicador</x:v>
      </x:c>
      <x:c r="L72" s="64" t="str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4" t="str">
        <x:v>equity_fy1</x:v>
      </x:c>
      <x:c r="B73" s="64" t="str">
        <x:v>02_DATOS_RAW</x:v>
      </x:c>
      <x:c r="C73" s="64" t="str">
        <x:v>D17</x:v>
      </x:c>
      <x:c r="D73" s="64" t="str">
        <x:v>number</x:v>
      </x:c>
      <x:c r="E73" s="64" t="str">
        <x:v>millones</x:v>
      </x:c>
      <x:c r="F73" s="64" t="str">
        <x:v>No</x:v>
      </x:c>
      <x:c r="G73" s="64" t="str">
        <x:v>filing/API</x:v>
      </x:c>
      <x:c r="H73" s="64" t="str">
        <x:v>coherencia</x:v>
      </x:c>
      <x:c r="I73" s="64" t="str">
        <x:v>MEDIA</x:v>
      </x:c>
      <x:c r="J73" s="64" t="str">
        <x:v>Sí</x:v>
      </x:c>
      <x:c r="K73" s="64" t="str">
        <x:v>aplicar multiplicador</x:v>
      </x:c>
      <x:c r="L73" s="64" t="str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4" t="str">
        <x:v>equity_fy0</x:v>
      </x:c>
      <x:c r="B74" s="64" t="str">
        <x:v>02_DATOS_RAW</x:v>
      </x:c>
      <x:c r="C74" s="64" t="str">
        <x:v>E17</x:v>
      </x:c>
      <x:c r="D74" s="64" t="str">
        <x:v>number</x:v>
      </x:c>
      <x:c r="E74" s="64" t="str">
        <x:v>millones</x:v>
      </x:c>
      <x:c r="F74" s="64" t="str">
        <x:v>No</x:v>
      </x:c>
      <x:c r="G74" s="64" t="str">
        <x:v>filing/API</x:v>
      </x:c>
      <x:c r="H74" s="64" t="str">
        <x:v>coherencia</x:v>
      </x:c>
      <x:c r="I74" s="64" t="str">
        <x:v>MEDIA</x:v>
      </x:c>
      <x:c r="J74" s="64" t="str">
        <x:v>Sí</x:v>
      </x:c>
      <x:c r="K74" s="64" t="str">
        <x:v>aplicar multiplicador</x:v>
      </x:c>
      <x:c r="L74" s="64" t="str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4" t="str">
        <x:v>total_assets_fy3</x:v>
      </x:c>
      <x:c r="B75" s="64" t="str">
        <x:v>02_DATOS_RAW</x:v>
      </x:c>
      <x:c r="C75" s="64" t="str">
        <x:v>B18</x:v>
      </x:c>
      <x:c r="D75" s="64" t="str">
        <x:v>number</x:v>
      </x:c>
      <x:c r="E75" s="64" t="str">
        <x:v>millones</x:v>
      </x:c>
      <x:c r="F75" s="64" t="str">
        <x:v>No</x:v>
      </x:c>
      <x:c r="G75" s="64" t="str">
        <x:v>filing/API</x:v>
      </x:c>
      <x:c r="H75" s="64" t="str">
        <x:v>coherencia</x:v>
      </x:c>
      <x:c r="I75" s="64" t="str">
        <x:v>MEDIA</x:v>
      </x:c>
      <x:c r="J75" s="64" t="str">
        <x:v>Sí</x:v>
      </x:c>
      <x:c r="K75" s="64" t="str">
        <x:v>aplicar multiplicador</x:v>
      </x:c>
      <x:c r="L75" s="64" t="str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4" t="str">
        <x:v>total_assets_fy2</x:v>
      </x:c>
      <x:c r="B76" s="64" t="str">
        <x:v>02_DATOS_RAW</x:v>
      </x:c>
      <x:c r="C76" s="64" t="str">
        <x:v>C18</x:v>
      </x:c>
      <x:c r="D76" s="64" t="str">
        <x:v>number</x:v>
      </x:c>
      <x:c r="E76" s="64" t="str">
        <x:v>millones</x:v>
      </x:c>
      <x:c r="F76" s="64" t="str">
        <x:v>No</x:v>
      </x:c>
      <x:c r="G76" s="64" t="str">
        <x:v>filing/API</x:v>
      </x:c>
      <x:c r="H76" s="64" t="str">
        <x:v>coherencia</x:v>
      </x:c>
      <x:c r="I76" s="64" t="str">
        <x:v>MEDIA</x:v>
      </x:c>
      <x:c r="J76" s="64" t="str">
        <x:v>Sí</x:v>
      </x:c>
      <x:c r="K76" s="64" t="str">
        <x:v>aplicar multiplicador</x:v>
      </x:c>
      <x:c r="L76" s="64" t="str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4" t="str">
        <x:v>total_assets_fy1</x:v>
      </x:c>
      <x:c r="B77" s="64" t="str">
        <x:v>02_DATOS_RAW</x:v>
      </x:c>
      <x:c r="C77" s="64" t="str">
        <x:v>D18</x:v>
      </x:c>
      <x:c r="D77" s="64" t="str">
        <x:v>number</x:v>
      </x:c>
      <x:c r="E77" s="64" t="str">
        <x:v>millones</x:v>
      </x:c>
      <x:c r="F77" s="64" t="str">
        <x:v>No</x:v>
      </x:c>
      <x:c r="G77" s="64" t="str">
        <x:v>filing/API</x:v>
      </x:c>
      <x:c r="H77" s="64" t="str">
        <x:v>coherencia</x:v>
      </x:c>
      <x:c r="I77" s="64" t="str">
        <x:v>MEDIA</x:v>
      </x:c>
      <x:c r="J77" s="64" t="str">
        <x:v>Sí</x:v>
      </x:c>
      <x:c r="K77" s="64" t="str">
        <x:v>aplicar multiplicador</x:v>
      </x:c>
      <x:c r="L77" s="64" t="str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4" t="str">
        <x:v>total_assets_fy0</x:v>
      </x:c>
      <x:c r="B78" s="64" t="str">
        <x:v>02_DATOS_RAW</x:v>
      </x:c>
      <x:c r="C78" s="64" t="str">
        <x:v>E18</x:v>
      </x:c>
      <x:c r="D78" s="64" t="str">
        <x:v>number</x:v>
      </x:c>
      <x:c r="E78" s="64" t="str">
        <x:v>millones</x:v>
      </x:c>
      <x:c r="F78" s="64" t="str">
        <x:v>No</x:v>
      </x:c>
      <x:c r="G78" s="64" t="str">
        <x:v>filing/API</x:v>
      </x:c>
      <x:c r="H78" s="64" t="str">
        <x:v>coherencia</x:v>
      </x:c>
      <x:c r="I78" s="64" t="str">
        <x:v>MEDIA</x:v>
      </x:c>
      <x:c r="J78" s="64" t="str">
        <x:v>Sí</x:v>
      </x:c>
      <x:c r="K78" s="64" t="str">
        <x:v>aplicar multiplicador</x:v>
      </x:c>
      <x:c r="L78" s="64" t="str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4" t="str">
        <x:v>total_liabilities_fy3</x:v>
      </x:c>
      <x:c r="B79" s="64" t="str">
        <x:v>02_DATOS_RAW</x:v>
      </x:c>
      <x:c r="C79" s="64" t="str">
        <x:v>B19</x:v>
      </x:c>
      <x:c r="D79" s="64" t="str">
        <x:v>number</x:v>
      </x:c>
      <x:c r="E79" s="64" t="str">
        <x:v>millones</x:v>
      </x:c>
      <x:c r="F79" s="64" t="str">
        <x:v>No</x:v>
      </x:c>
      <x:c r="G79" s="64" t="str">
        <x:v>filing/API</x:v>
      </x:c>
      <x:c r="H79" s="64" t="str">
        <x:v>coherencia</x:v>
      </x:c>
      <x:c r="I79" s="64" t="str">
        <x:v>MEDIA</x:v>
      </x:c>
      <x:c r="J79" s="64" t="str">
        <x:v>Sí</x:v>
      </x:c>
      <x:c r="K79" s="64" t="str">
        <x:v>aplicar multiplicador</x:v>
      </x:c>
      <x:c r="L79" s="64" t="str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4" t="str">
        <x:v>total_liabilities_fy2</x:v>
      </x:c>
      <x:c r="B80" s="64" t="str">
        <x:v>02_DATOS_RAW</x:v>
      </x:c>
      <x:c r="C80" s="64" t="str">
        <x:v>C19</x:v>
      </x:c>
      <x:c r="D80" s="64" t="str">
        <x:v>number</x:v>
      </x:c>
      <x:c r="E80" s="64" t="str">
        <x:v>millones</x:v>
      </x:c>
      <x:c r="F80" s="64" t="str">
        <x:v>No</x:v>
      </x:c>
      <x:c r="G80" s="64" t="str">
        <x:v>filing/API</x:v>
      </x:c>
      <x:c r="H80" s="64" t="str">
        <x:v>coherencia</x:v>
      </x:c>
      <x:c r="I80" s="64" t="str">
        <x:v>MEDIA</x:v>
      </x:c>
      <x:c r="J80" s="64" t="str">
        <x:v>Sí</x:v>
      </x:c>
      <x:c r="K80" s="64" t="str">
        <x:v>aplicar multiplicador</x:v>
      </x:c>
      <x:c r="L80" s="64" t="str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4" t="str">
        <x:v>total_liabilities_fy1</x:v>
      </x:c>
      <x:c r="B81" s="64" t="str">
        <x:v>02_DATOS_RAW</x:v>
      </x:c>
      <x:c r="C81" s="64" t="str">
        <x:v>D19</x:v>
      </x:c>
      <x:c r="D81" s="64" t="str">
        <x:v>number</x:v>
      </x:c>
      <x:c r="E81" s="64" t="str">
        <x:v>millones</x:v>
      </x:c>
      <x:c r="F81" s="64" t="str">
        <x:v>No</x:v>
      </x:c>
      <x:c r="G81" s="64" t="str">
        <x:v>filing/API</x:v>
      </x:c>
      <x:c r="H81" s="64" t="str">
        <x:v>coherencia</x:v>
      </x:c>
      <x:c r="I81" s="64" t="str">
        <x:v>MEDIA</x:v>
      </x:c>
      <x:c r="J81" s="64" t="str">
        <x:v>Sí</x:v>
      </x:c>
      <x:c r="K81" s="64" t="str">
        <x:v>aplicar multiplicador</x:v>
      </x:c>
      <x:c r="L81" s="64" t="str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4" t="str">
        <x:v>total_liabilities_fy0</x:v>
      </x:c>
      <x:c r="B82" s="64" t="str">
        <x:v>02_DATOS_RAW</x:v>
      </x:c>
      <x:c r="C82" s="64" t="str">
        <x:v>E19</x:v>
      </x:c>
      <x:c r="D82" s="64" t="str">
        <x:v>number</x:v>
      </x:c>
      <x:c r="E82" s="64" t="str">
        <x:v>millones</x:v>
      </x:c>
      <x:c r="F82" s="64" t="str">
        <x:v>No</x:v>
      </x:c>
      <x:c r="G82" s="64" t="str">
        <x:v>filing/API</x:v>
      </x:c>
      <x:c r="H82" s="64" t="str">
        <x:v>coherencia</x:v>
      </x:c>
      <x:c r="I82" s="64" t="str">
        <x:v>MEDIA</x:v>
      </x:c>
      <x:c r="J82" s="64" t="str">
        <x:v>Sí</x:v>
      </x:c>
      <x:c r="K82" s="64" t="str">
        <x:v>aplicar multiplicador</x:v>
      </x:c>
      <x:c r="L82" s="64" t="str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4" t="str">
        <x:v>dividends_fy3</x:v>
      </x:c>
      <x:c r="B83" s="64" t="str">
        <x:v>02_DATOS_RAW</x:v>
      </x:c>
      <x:c r="C83" s="64" t="str">
        <x:v>B20</x:v>
      </x:c>
      <x:c r="D83" s="64" t="str">
        <x:v>number</x:v>
      </x:c>
      <x:c r="E83" s="64" t="str">
        <x:v>millones</x:v>
      </x:c>
      <x:c r="F83" s="64" t="str">
        <x:v>No</x:v>
      </x:c>
      <x:c r="G83" s="64" t="str">
        <x:v>filing/API</x:v>
      </x:c>
      <x:c r="H83" s="64" t="str">
        <x:v>coherencia</x:v>
      </x:c>
      <x:c r="I83" s="64" t="str">
        <x:v>MEDIA</x:v>
      </x:c>
      <x:c r="J83" s="64" t="str">
        <x:v>Sí</x:v>
      </x:c>
      <x:c r="K83" s="64" t="str">
        <x:v>aplicar multiplicador</x:v>
      </x:c>
      <x:c r="L83" s="64" t="str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4" t="str">
        <x:v>dividends_fy2</x:v>
      </x:c>
      <x:c r="B84" s="64" t="str">
        <x:v>02_DATOS_RAW</x:v>
      </x:c>
      <x:c r="C84" s="64" t="str">
        <x:v>C20</x:v>
      </x:c>
      <x:c r="D84" s="64" t="str">
        <x:v>number</x:v>
      </x:c>
      <x:c r="E84" s="64" t="str">
        <x:v>millones</x:v>
      </x:c>
      <x:c r="F84" s="64" t="str">
        <x:v>No</x:v>
      </x:c>
      <x:c r="G84" s="64" t="str">
        <x:v>filing/API</x:v>
      </x:c>
      <x:c r="H84" s="64" t="str">
        <x:v>coherencia</x:v>
      </x:c>
      <x:c r="I84" s="64" t="str">
        <x:v>MEDIA</x:v>
      </x:c>
      <x:c r="J84" s="64" t="str">
        <x:v>Sí</x:v>
      </x:c>
      <x:c r="K84" s="64" t="str">
        <x:v>aplicar multiplicador</x:v>
      </x:c>
      <x:c r="L84" s="64" t="str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4" t="str">
        <x:v>dividends_fy1</x:v>
      </x:c>
      <x:c r="B85" s="64" t="str">
        <x:v>02_DATOS_RAW</x:v>
      </x:c>
      <x:c r="C85" s="64" t="str">
        <x:v>D20</x:v>
      </x:c>
      <x:c r="D85" s="64" t="str">
        <x:v>number</x:v>
      </x:c>
      <x:c r="E85" s="64" t="str">
        <x:v>millones</x:v>
      </x:c>
      <x:c r="F85" s="64" t="str">
        <x:v>No</x:v>
      </x:c>
      <x:c r="G85" s="64" t="str">
        <x:v>filing/API</x:v>
      </x:c>
      <x:c r="H85" s="64" t="str">
        <x:v>coherencia</x:v>
      </x:c>
      <x:c r="I85" s="64" t="str">
        <x:v>MEDIA</x:v>
      </x:c>
      <x:c r="J85" s="64" t="str">
        <x:v>Sí</x:v>
      </x:c>
      <x:c r="K85" s="64" t="str">
        <x:v>aplicar multiplicador</x:v>
      </x:c>
      <x:c r="L85" s="64" t="str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4" t="str">
        <x:v>dividends_fy0</x:v>
      </x:c>
      <x:c r="B86" s="64" t="str">
        <x:v>02_DATOS_RAW</x:v>
      </x:c>
      <x:c r="C86" s="64" t="str">
        <x:v>E20</x:v>
      </x:c>
      <x:c r="D86" s="64" t="str">
        <x:v>number</x:v>
      </x:c>
      <x:c r="E86" s="64" t="str">
        <x:v>millones</x:v>
      </x:c>
      <x:c r="F86" s="64" t="str">
        <x:v>No</x:v>
      </x:c>
      <x:c r="G86" s="64" t="str">
        <x:v>filing/API</x:v>
      </x:c>
      <x:c r="H86" s="64" t="str">
        <x:v>coherencia</x:v>
      </x:c>
      <x:c r="I86" s="64" t="str">
        <x:v>MEDIA</x:v>
      </x:c>
      <x:c r="J86" s="64" t="str">
        <x:v>Sí</x:v>
      </x:c>
      <x:c r="K86" s="64" t="str">
        <x:v>aplicar multiplicador</x:v>
      </x:c>
      <x:c r="L86" s="64" t="str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4" t="str">
        <x:v>diluted_shares_fy3</x:v>
      </x:c>
      <x:c r="B87" s="64" t="str">
        <x:v>02_DATOS_RAW</x:v>
      </x:c>
      <x:c r="C87" s="64" t="str">
        <x:v>B21</x:v>
      </x:c>
      <x:c r="D87" s="64" t="str">
        <x:v>number</x:v>
      </x:c>
      <x:c r="E87" s="64" t="str">
        <x:v>millones</x:v>
      </x:c>
      <x:c r="F87" s="64" t="str">
        <x:v>No</x:v>
      </x:c>
      <x:c r="G87" s="64" t="str">
        <x:v>filing/API</x:v>
      </x:c>
      <x:c r="H87" s="64" t="str">
        <x:v>coherencia</x:v>
      </x:c>
      <x:c r="I87" s="64" t="str">
        <x:v>MEDIA</x:v>
      </x:c>
      <x:c r="J87" s="64" t="str">
        <x:v>Sí</x:v>
      </x:c>
      <x:c r="K87" s="64" t="str">
        <x:v>aplicar multiplicador</x:v>
      </x:c>
      <x:c r="L87" s="64" t="str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4" t="str">
        <x:v>diluted_shares_fy2</x:v>
      </x:c>
      <x:c r="B88" s="64" t="str">
        <x:v>02_DATOS_RAW</x:v>
      </x:c>
      <x:c r="C88" s="64" t="str">
        <x:v>C21</x:v>
      </x:c>
      <x:c r="D88" s="64" t="str">
        <x:v>number</x:v>
      </x:c>
      <x:c r="E88" s="64" t="str">
        <x:v>millones</x:v>
      </x:c>
      <x:c r="F88" s="64" t="str">
        <x:v>No</x:v>
      </x:c>
      <x:c r="G88" s="64" t="str">
        <x:v>filing/API</x:v>
      </x:c>
      <x:c r="H88" s="64" t="str">
        <x:v>coherencia</x:v>
      </x:c>
      <x:c r="I88" s="64" t="str">
        <x:v>MEDIA</x:v>
      </x:c>
      <x:c r="J88" s="64" t="str">
        <x:v>Sí</x:v>
      </x:c>
      <x:c r="K88" s="64" t="str">
        <x:v>aplicar multiplicador</x:v>
      </x:c>
      <x:c r="L88" s="64" t="str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4" t="str">
        <x:v>diluted_shares_fy1</x:v>
      </x:c>
      <x:c r="B89" s="64" t="str">
        <x:v>02_DATOS_RAW</x:v>
      </x:c>
      <x:c r="C89" s="64" t="str">
        <x:v>D21</x:v>
      </x:c>
      <x:c r="D89" s="64" t="str">
        <x:v>number</x:v>
      </x:c>
      <x:c r="E89" s="64" t="str">
        <x:v>millones</x:v>
      </x:c>
      <x:c r="F89" s="64" t="str">
        <x:v>No</x:v>
      </x:c>
      <x:c r="G89" s="64" t="str">
        <x:v>filing/API</x:v>
      </x:c>
      <x:c r="H89" s="64" t="str">
        <x:v>coherencia</x:v>
      </x:c>
      <x:c r="I89" s="64" t="str">
        <x:v>MEDIA</x:v>
      </x:c>
      <x:c r="J89" s="64" t="str">
        <x:v>Sí</x:v>
      </x:c>
      <x:c r="K89" s="64" t="str">
        <x:v>aplicar multiplicador</x:v>
      </x:c>
      <x:c r="L89" s="64" t="str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4" t="str">
        <x:v>diluted_shares_fy0</x:v>
      </x:c>
      <x:c r="B90" s="64" t="str">
        <x:v>02_DATOS_RAW</x:v>
      </x:c>
      <x:c r="C90" s="64" t="str">
        <x:v>E21</x:v>
      </x:c>
      <x:c r="D90" s="64" t="str">
        <x:v>number</x:v>
      </x:c>
      <x:c r="E90" s="64" t="str">
        <x:v>millones</x:v>
      </x:c>
      <x:c r="F90" s="64" t="str">
        <x:v>No</x:v>
      </x:c>
      <x:c r="G90" s="64" t="str">
        <x:v>filing/API</x:v>
      </x:c>
      <x:c r="H90" s="64" t="str">
        <x:v>coherencia</x:v>
      </x:c>
      <x:c r="I90" s="64" t="str">
        <x:v>MEDIA</x:v>
      </x:c>
      <x:c r="J90" s="64" t="str">
        <x:v>Sí</x:v>
      </x:c>
      <x:c r="K90" s="64" t="str">
        <x:v>aplicar multiplicador</x:v>
      </x:c>
      <x:c r="L90" s="64" t="str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4" t="str">
        <x:v>sector_metrics.product_revenue.fy3</x:v>
      </x:c>
      <x:c r="B91" s="64" t="str">
        <x:v>04_METRICAS_SECTOR</x:v>
      </x:c>
      <x:c r="C91" s="64" t="str">
        <x:v>B4</x:v>
      </x:c>
      <x:c r="D91" s="64" t="str">
        <x:v>number</x:v>
      </x:c>
      <x:c r="E91" s="64" t="str">
        <x:v>según métrica</x:v>
      </x:c>
      <x:c r="F91" s="64" t="str">
        <x:v>No</x:v>
      </x:c>
      <x:c r="G91" s="64" t="str">
        <x:v>filing/API</x:v>
      </x:c>
      <x:c r="H91" s="64" t="str">
        <x:v>coherencia</x:v>
      </x:c>
      <x:c r="I91" s="64" t="str">
        <x:v>MEDIA</x:v>
      </x:c>
      <x:c r="J91" s="64" t="str">
        <x:v>Sí</x:v>
      </x:c>
      <x:c r="K91" s="64" t="str"/>
      <x:c r="L91" s="64" t="str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4" t="str">
        <x:v>sector_metrics.product_revenue.fy2</x:v>
      </x:c>
      <x:c r="B92" s="64" t="str">
        <x:v>04_METRICAS_SECTOR</x:v>
      </x:c>
      <x:c r="C92" s="64" t="str">
        <x:v>C4</x:v>
      </x:c>
      <x:c r="D92" s="64" t="str">
        <x:v>number</x:v>
      </x:c>
      <x:c r="E92" s="64" t="str">
        <x:v>según métrica</x:v>
      </x:c>
      <x:c r="F92" s="64" t="str">
        <x:v>No</x:v>
      </x:c>
      <x:c r="G92" s="64" t="str">
        <x:v>filing/API</x:v>
      </x:c>
      <x:c r="H92" s="64" t="str">
        <x:v>coherencia</x:v>
      </x:c>
      <x:c r="I92" s="64" t="str">
        <x:v>MEDIA</x:v>
      </x:c>
      <x:c r="J92" s="64" t="str">
        <x:v>Sí</x:v>
      </x:c>
      <x:c r="K92" s="64" t="str"/>
      <x:c r="L92" s="64" t="str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4" t="str">
        <x:v>sector_metrics.product_revenue.fy1</x:v>
      </x:c>
      <x:c r="B93" s="64" t="str">
        <x:v>04_METRICAS_SECTOR</x:v>
      </x:c>
      <x:c r="C93" s="64" t="str">
        <x:v>D4</x:v>
      </x:c>
      <x:c r="D93" s="64" t="str">
        <x:v>number</x:v>
      </x:c>
      <x:c r="E93" s="64" t="str">
        <x:v>según métrica</x:v>
      </x:c>
      <x:c r="F93" s="64" t="str">
        <x:v>No</x:v>
      </x:c>
      <x:c r="G93" s="64" t="str">
        <x:v>filing/API</x:v>
      </x:c>
      <x:c r="H93" s="64" t="str">
        <x:v>coherencia</x:v>
      </x:c>
      <x:c r="I93" s="64" t="str">
        <x:v>MEDIA</x:v>
      </x:c>
      <x:c r="J93" s="64" t="str">
        <x:v>Sí</x:v>
      </x:c>
      <x:c r="K93" s="64" t="str"/>
      <x:c r="L93" s="64" t="str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4" t="str">
        <x:v>sector_metrics.product_revenue.fy0</x:v>
      </x:c>
      <x:c r="B94" s="64" t="str">
        <x:v>04_METRICAS_SECTOR</x:v>
      </x:c>
      <x:c r="C94" s="64" t="str">
        <x:v>E4</x:v>
      </x:c>
      <x:c r="D94" s="64" t="str">
        <x:v>number</x:v>
      </x:c>
      <x:c r="E94" s="64" t="str">
        <x:v>según métrica</x:v>
      </x:c>
      <x:c r="F94" s="64" t="str">
        <x:v>No</x:v>
      </x:c>
      <x:c r="G94" s="64" t="str">
        <x:v>filing/API</x:v>
      </x:c>
      <x:c r="H94" s="64" t="str">
        <x:v>coherencia</x:v>
      </x:c>
      <x:c r="I94" s="64" t="str">
        <x:v>MEDIA</x:v>
      </x:c>
      <x:c r="J94" s="64" t="str">
        <x:v>Sí</x:v>
      </x:c>
      <x:c r="K94" s="64" t="str"/>
      <x:c r="L94" s="64" t="str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4" t="str">
        <x:v>sector_metrics.patent_expiry_year.fy3</x:v>
      </x:c>
      <x:c r="B95" s="64" t="str">
        <x:v>04_METRICAS_SECTOR</x:v>
      </x:c>
      <x:c r="C95" s="64" t="str">
        <x:v>B5</x:v>
      </x:c>
      <x:c r="D95" s="64" t="str">
        <x:v>number</x:v>
      </x:c>
      <x:c r="E95" s="64" t="str">
        <x:v>según métrica</x:v>
      </x:c>
      <x:c r="F95" s="64" t="str">
        <x:v>No</x:v>
      </x:c>
      <x:c r="G95" s="64" t="str">
        <x:v>filing/API</x:v>
      </x:c>
      <x:c r="H95" s="64" t="str">
        <x:v>coherencia</x:v>
      </x:c>
      <x:c r="I95" s="64" t="str">
        <x:v>MEDIA</x:v>
      </x:c>
      <x:c r="J95" s="64" t="str">
        <x:v>Sí</x:v>
      </x:c>
      <x:c r="K95" s="64" t="str"/>
      <x:c r="L95" s="64" t="str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4" t="str">
        <x:v>sector_metrics.patent_expiry_year.fy2</x:v>
      </x:c>
      <x:c r="B96" s="64" t="str">
        <x:v>04_METRICAS_SECTOR</x:v>
      </x:c>
      <x:c r="C96" s="64" t="str">
        <x:v>C5</x:v>
      </x:c>
      <x:c r="D96" s="64" t="str">
        <x:v>number</x:v>
      </x:c>
      <x:c r="E96" s="64" t="str">
        <x:v>según métrica</x:v>
      </x:c>
      <x:c r="F96" s="64" t="str">
        <x:v>No</x:v>
      </x:c>
      <x:c r="G96" s="64" t="str">
        <x:v>filing/API</x:v>
      </x:c>
      <x:c r="H96" s="64" t="str">
        <x:v>coherencia</x:v>
      </x:c>
      <x:c r="I96" s="64" t="str">
        <x:v>MEDIA</x:v>
      </x:c>
      <x:c r="J96" s="64" t="str">
        <x:v>Sí</x:v>
      </x:c>
      <x:c r="K96" s="64" t="str"/>
      <x:c r="L96" s="64" t="str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4" t="str">
        <x:v>sector_metrics.patent_expiry_year.fy1</x:v>
      </x:c>
      <x:c r="B97" s="64" t="str">
        <x:v>04_METRICAS_SECTOR</x:v>
      </x:c>
      <x:c r="C97" s="64" t="str">
        <x:v>D5</x:v>
      </x:c>
      <x:c r="D97" s="64" t="str">
        <x:v>number</x:v>
      </x:c>
      <x:c r="E97" s="64" t="str">
        <x:v>según métrica</x:v>
      </x:c>
      <x:c r="F97" s="64" t="str">
        <x:v>No</x:v>
      </x:c>
      <x:c r="G97" s="64" t="str">
        <x:v>filing/API</x:v>
      </x:c>
      <x:c r="H97" s="64" t="str">
        <x:v>coherencia</x:v>
      </x:c>
      <x:c r="I97" s="64" t="str">
        <x:v>MEDIA</x:v>
      </x:c>
      <x:c r="J97" s="64" t="str">
        <x:v>Sí</x:v>
      </x:c>
      <x:c r="K97" s="64" t="str"/>
      <x:c r="L97" s="64" t="str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4" t="str">
        <x:v>sector_metrics.patent_expiry_year.fy0</x:v>
      </x:c>
      <x:c r="B98" s="64" t="str">
        <x:v>04_METRICAS_SECTOR</x:v>
      </x:c>
      <x:c r="C98" s="64" t="str">
        <x:v>E5</x:v>
      </x:c>
      <x:c r="D98" s="64" t="str">
        <x:v>number</x:v>
      </x:c>
      <x:c r="E98" s="64" t="str">
        <x:v>según métrica</x:v>
      </x:c>
      <x:c r="F98" s="64" t="str">
        <x:v>No</x:v>
      </x:c>
      <x:c r="G98" s="64" t="str">
        <x:v>filing/API</x:v>
      </x:c>
      <x:c r="H98" s="64" t="str">
        <x:v>coherencia</x:v>
      </x:c>
      <x:c r="I98" s="64" t="str">
        <x:v>MEDIA</x:v>
      </x:c>
      <x:c r="J98" s="64" t="str">
        <x:v>Sí</x:v>
      </x:c>
      <x:c r="K98" s="64" t="str"/>
      <x:c r="L98" s="64" t="str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4" t="str">
        <x:v>sector_metrics.pipeline_assets.fy3</x:v>
      </x:c>
      <x:c r="B99" s="64" t="str">
        <x:v>04_METRICAS_SECTOR</x:v>
      </x:c>
      <x:c r="C99" s="64" t="str">
        <x:v>B6</x:v>
      </x:c>
      <x:c r="D99" s="64" t="str">
        <x:v>number</x:v>
      </x:c>
      <x:c r="E99" s="64" t="str">
        <x:v>según métrica</x:v>
      </x:c>
      <x:c r="F99" s="64" t="str">
        <x:v>No</x:v>
      </x:c>
      <x:c r="G99" s="64" t="str">
        <x:v>filing/API</x:v>
      </x:c>
      <x:c r="H99" s="64" t="str">
        <x:v>coherencia</x:v>
      </x:c>
      <x:c r="I99" s="64" t="str">
        <x:v>MEDIA</x:v>
      </x:c>
      <x:c r="J99" s="64" t="str">
        <x:v>Sí</x:v>
      </x:c>
      <x:c r="K99" s="64" t="str"/>
      <x:c r="L99" s="64" t="str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4" t="str">
        <x:v>sector_metrics.pipeline_assets.fy2</x:v>
      </x:c>
      <x:c r="B100" s="64" t="str">
        <x:v>04_METRICAS_SECTOR</x:v>
      </x:c>
      <x:c r="C100" s="64" t="str">
        <x:v>C6</x:v>
      </x:c>
      <x:c r="D100" s="64" t="str">
        <x:v>number</x:v>
      </x:c>
      <x:c r="E100" s="64" t="str">
        <x:v>según métrica</x:v>
      </x:c>
      <x:c r="F100" s="64" t="str">
        <x:v>No</x:v>
      </x:c>
      <x:c r="G100" s="64" t="str">
        <x:v>filing/API</x:v>
      </x:c>
      <x:c r="H100" s="64" t="str">
        <x:v>coherencia</x:v>
      </x:c>
      <x:c r="I100" s="64" t="str">
        <x:v>MEDIA</x:v>
      </x:c>
      <x:c r="J100" s="64" t="str">
        <x:v>Sí</x:v>
      </x:c>
      <x:c r="K100" s="64" t="str"/>
      <x:c r="L100" s="64" t="str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4" t="str">
        <x:v>sector_metrics.pipeline_assets.fy1</x:v>
      </x:c>
      <x:c r="B101" s="64" t="str">
        <x:v>04_METRICAS_SECTOR</x:v>
      </x:c>
      <x:c r="C101" s="64" t="str">
        <x:v>D6</x:v>
      </x:c>
      <x:c r="D101" s="64" t="str">
        <x:v>number</x:v>
      </x:c>
      <x:c r="E101" s="64" t="str">
        <x:v>según métrica</x:v>
      </x:c>
      <x:c r="F101" s="64" t="str">
        <x:v>No</x:v>
      </x:c>
      <x:c r="G101" s="64" t="str">
        <x:v>filing/API</x:v>
      </x:c>
      <x:c r="H101" s="64" t="str">
        <x:v>coherencia</x:v>
      </x:c>
      <x:c r="I101" s="64" t="str">
        <x:v>MEDIA</x:v>
      </x:c>
      <x:c r="J101" s="64" t="str">
        <x:v>Sí</x:v>
      </x:c>
      <x:c r="K101" s="64" t="str"/>
      <x:c r="L101" s="64" t="str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4" t="str">
        <x:v>sector_metrics.pipeline_assets.fy0</x:v>
      </x:c>
      <x:c r="B102" s="64" t="str">
        <x:v>04_METRICAS_SECTOR</x:v>
      </x:c>
      <x:c r="C102" s="64" t="str">
        <x:v>E6</x:v>
      </x:c>
      <x:c r="D102" s="64" t="str">
        <x:v>number</x:v>
      </x:c>
      <x:c r="E102" s="64" t="str">
        <x:v>según métrica</x:v>
      </x:c>
      <x:c r="F102" s="64" t="str">
        <x:v>No</x:v>
      </x:c>
      <x:c r="G102" s="64" t="str">
        <x:v>filing/API</x:v>
      </x:c>
      <x:c r="H102" s="64" t="str">
        <x:v>coherencia</x:v>
      </x:c>
      <x:c r="I102" s="64" t="str">
        <x:v>MEDIA</x:v>
      </x:c>
      <x:c r="J102" s="64" t="str">
        <x:v>Sí</x:v>
      </x:c>
      <x:c r="K102" s="64" t="str"/>
      <x:c r="L102" s="64" t="str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4" t="str">
        <x:v>sector_metrics.probability_of_success.fy3</x:v>
      </x:c>
      <x:c r="B103" s="64" t="str">
        <x:v>04_METRICAS_SECTOR</x:v>
      </x:c>
      <x:c r="C103" s="64" t="str">
        <x:v>B7</x:v>
      </x:c>
      <x:c r="D103" s="64" t="str">
        <x:v>number</x:v>
      </x:c>
      <x:c r="E103" s="64" t="str">
        <x:v>según métrica</x:v>
      </x:c>
      <x:c r="F103" s="64" t="str">
        <x:v>No</x:v>
      </x:c>
      <x:c r="G103" s="64" t="str">
        <x:v>filing/API</x:v>
      </x:c>
      <x:c r="H103" s="64" t="str">
        <x:v>coherencia</x:v>
      </x:c>
      <x:c r="I103" s="64" t="str">
        <x:v>MEDIA</x:v>
      </x:c>
      <x:c r="J103" s="64" t="str">
        <x:v>Sí</x:v>
      </x:c>
      <x:c r="K103" s="64" t="str"/>
      <x:c r="L103" s="64" t="str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4" t="str">
        <x:v>sector_metrics.probability_of_success.fy2</x:v>
      </x:c>
      <x:c r="B104" s="64" t="str">
        <x:v>04_METRICAS_SECTOR</x:v>
      </x:c>
      <x:c r="C104" s="64" t="str">
        <x:v>C7</x:v>
      </x:c>
      <x:c r="D104" s="64" t="str">
        <x:v>number</x:v>
      </x:c>
      <x:c r="E104" s="64" t="str">
        <x:v>según métrica</x:v>
      </x:c>
      <x:c r="F104" s="64" t="str">
        <x:v>No</x:v>
      </x:c>
      <x:c r="G104" s="64" t="str">
        <x:v>filing/API</x:v>
      </x:c>
      <x:c r="H104" s="64" t="str">
        <x:v>coherencia</x:v>
      </x:c>
      <x:c r="I104" s="64" t="str">
        <x:v>MEDIA</x:v>
      </x:c>
      <x:c r="J104" s="64" t="str">
        <x:v>Sí</x:v>
      </x:c>
      <x:c r="K104" s="64" t="str"/>
      <x:c r="L104" s="64" t="str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4" t="str">
        <x:v>sector_metrics.probability_of_success.fy1</x:v>
      </x:c>
      <x:c r="B105" s="64" t="str">
        <x:v>04_METRICAS_SECTOR</x:v>
      </x:c>
      <x:c r="C105" s="64" t="str">
        <x:v>D7</x:v>
      </x:c>
      <x:c r="D105" s="64" t="str">
        <x:v>number</x:v>
      </x:c>
      <x:c r="E105" s="64" t="str">
        <x:v>según métrica</x:v>
      </x:c>
      <x:c r="F105" s="64" t="str">
        <x:v>No</x:v>
      </x:c>
      <x:c r="G105" s="64" t="str">
        <x:v>filing/API</x:v>
      </x:c>
      <x:c r="H105" s="64" t="str">
        <x:v>coherencia</x:v>
      </x:c>
      <x:c r="I105" s="64" t="str">
        <x:v>MEDIA</x:v>
      </x:c>
      <x:c r="J105" s="64" t="str">
        <x:v>Sí</x:v>
      </x:c>
      <x:c r="K105" s="64" t="str"/>
      <x:c r="L105" s="64" t="str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4" t="str">
        <x:v>sector_metrics.probability_of_success.fy0</x:v>
      </x:c>
      <x:c r="B106" s="64" t="str">
        <x:v>04_METRICAS_SECTOR</x:v>
      </x:c>
      <x:c r="C106" s="64" t="str">
        <x:v>E7</x:v>
      </x:c>
      <x:c r="D106" s="64" t="str">
        <x:v>number</x:v>
      </x:c>
      <x:c r="E106" s="64" t="str">
        <x:v>según métrica</x:v>
      </x:c>
      <x:c r="F106" s="64" t="str">
        <x:v>No</x:v>
      </x:c>
      <x:c r="G106" s="64" t="str">
        <x:v>filing/API</x:v>
      </x:c>
      <x:c r="H106" s="64" t="str">
        <x:v>coherencia</x:v>
      </x:c>
      <x:c r="I106" s="64" t="str">
        <x:v>MEDIA</x:v>
      </x:c>
      <x:c r="J106" s="64" t="str">
        <x:v>Sí</x:v>
      </x:c>
      <x:c r="K106" s="64" t="str"/>
      <x:c r="L106" s="64" t="str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4" t="str">
        <x:v>sector_metrics.rd_to_revenue.fy3</x:v>
      </x:c>
      <x:c r="B107" s="64" t="str">
        <x:v>04_METRICAS_SECTOR</x:v>
      </x:c>
      <x:c r="C107" s="64" t="str">
        <x:v>B8</x:v>
      </x:c>
      <x:c r="D107" s="64" t="str">
        <x:v>number</x:v>
      </x:c>
      <x:c r="E107" s="64" t="str">
        <x:v>según métrica</x:v>
      </x:c>
      <x:c r="F107" s="64" t="str">
        <x:v>No</x:v>
      </x:c>
      <x:c r="G107" s="64" t="str">
        <x:v>filing/API</x:v>
      </x:c>
      <x:c r="H107" s="64" t="str">
        <x:v>coherencia</x:v>
      </x:c>
      <x:c r="I107" s="64" t="str">
        <x:v>MEDIA</x:v>
      </x:c>
      <x:c r="J107" s="64" t="str">
        <x:v>Sí</x:v>
      </x:c>
      <x:c r="K107" s="64" t="str"/>
      <x:c r="L107" s="64" t="str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4" t="str">
        <x:v>sector_metrics.rd_to_revenue.fy2</x:v>
      </x:c>
      <x:c r="B108" s="64" t="str">
        <x:v>04_METRICAS_SECTOR</x:v>
      </x:c>
      <x:c r="C108" s="64" t="str">
        <x:v>C8</x:v>
      </x:c>
      <x:c r="D108" s="64" t="str">
        <x:v>number</x:v>
      </x:c>
      <x:c r="E108" s="64" t="str">
        <x:v>según métrica</x:v>
      </x:c>
      <x:c r="F108" s="64" t="str">
        <x:v>No</x:v>
      </x:c>
      <x:c r="G108" s="64" t="str">
        <x:v>filing/API</x:v>
      </x:c>
      <x:c r="H108" s="64" t="str">
        <x:v>coherencia</x:v>
      </x:c>
      <x:c r="I108" s="64" t="str">
        <x:v>MEDIA</x:v>
      </x:c>
      <x:c r="J108" s="64" t="str">
        <x:v>Sí</x:v>
      </x:c>
      <x:c r="K108" s="64" t="str"/>
      <x:c r="L108" s="64" t="str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4" t="str">
        <x:v>sector_metrics.rd_to_revenue.fy1</x:v>
      </x:c>
      <x:c r="B109" s="64" t="str">
        <x:v>04_METRICAS_SECTOR</x:v>
      </x:c>
      <x:c r="C109" s="64" t="str">
        <x:v>D8</x:v>
      </x:c>
      <x:c r="D109" s="64" t="str">
        <x:v>number</x:v>
      </x:c>
      <x:c r="E109" s="64" t="str">
        <x:v>según métrica</x:v>
      </x:c>
      <x:c r="F109" s="64" t="str">
        <x:v>No</x:v>
      </x:c>
      <x:c r="G109" s="64" t="str">
        <x:v>filing/API</x:v>
      </x:c>
      <x:c r="H109" s="64" t="str">
        <x:v>coherencia</x:v>
      </x:c>
      <x:c r="I109" s="64" t="str">
        <x:v>MEDIA</x:v>
      </x:c>
      <x:c r="J109" s="64" t="str">
        <x:v>Sí</x:v>
      </x:c>
      <x:c r="K109" s="64" t="str"/>
      <x:c r="L109" s="64" t="str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4" t="str">
        <x:v>sector_metrics.rd_to_revenue.fy0</x:v>
      </x:c>
      <x:c r="B110" s="64" t="str">
        <x:v>04_METRICAS_SECTOR</x:v>
      </x:c>
      <x:c r="C110" s="64" t="str">
        <x:v>E8</x:v>
      </x:c>
      <x:c r="D110" s="64" t="str">
        <x:v>number</x:v>
      </x:c>
      <x:c r="E110" s="64" t="str">
        <x:v>según métrica</x:v>
      </x:c>
      <x:c r="F110" s="64" t="str">
        <x:v>No</x:v>
      </x:c>
      <x:c r="G110" s="64" t="str">
        <x:v>filing/API</x:v>
      </x:c>
      <x:c r="H110" s="64" t="str">
        <x:v>coherencia</x:v>
      </x:c>
      <x:c r="I110" s="64" t="str">
        <x:v>MEDIA</x:v>
      </x:c>
      <x:c r="J110" s="64" t="str">
        <x:v>Sí</x:v>
      </x:c>
      <x:c r="K110" s="64" t="str"/>
      <x:c r="L110" s="64" t="str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4" t="str">
        <x:v>sector_metrics.product_concentration.fy3</x:v>
      </x:c>
      <x:c r="B111" s="64" t="str">
        <x:v>04_METRICAS_SECTOR</x:v>
      </x:c>
      <x:c r="C111" s="64" t="str">
        <x:v>B9</x:v>
      </x:c>
      <x:c r="D111" s="64" t="str">
        <x:v>number</x:v>
      </x:c>
      <x:c r="E111" s="64" t="str">
        <x:v>según métrica</x:v>
      </x:c>
      <x:c r="F111" s="64" t="str">
        <x:v>No</x:v>
      </x:c>
      <x:c r="G111" s="64" t="str">
        <x:v>filing/API</x:v>
      </x:c>
      <x:c r="H111" s="64" t="str">
        <x:v>coherencia</x:v>
      </x:c>
      <x:c r="I111" s="64" t="str">
        <x:v>MEDIA</x:v>
      </x:c>
      <x:c r="J111" s="64" t="str">
        <x:v>Sí</x:v>
      </x:c>
      <x:c r="K111" s="64" t="str"/>
      <x:c r="L111" s="64" t="str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4" t="str">
        <x:v>expected_family</x:v>
      </x:c>
      <x:c r="B112" s="64" t="str">
        <x:v>01_CONTROL</x:v>
      </x:c>
      <x:c r="C112" s="64" t="str">
        <x:v>B21</x:v>
      </x:c>
      <x:c r="D112" s="64" t="str">
        <x:v>string</x:v>
      </x:c>
      <x:c r="E112" s="64" t="str"/>
      <x:c r="F112" s="64" t="str">
        <x:v>Sí</x:v>
      </x:c>
      <x:c r="G112" s="64" t="str">
        <x:v>template</x:v>
      </x:c>
      <x:c r="H112" s="64" t="str">
        <x:v>fixed</x:v>
      </x:c>
      <x:c r="I112" s="64" t="str">
        <x:v>HIGH</x:v>
      </x:c>
      <x:c r="J112" s="64" t="str">
        <x:v>No</x:v>
      </x:c>
      <x:c r="K112" s="64" t="str"/>
      <x:c r="L112" s="64" t="str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4" t="str">
        <x:v>valuation_method_family</x:v>
      </x:c>
      <x:c r="B113" s="64" t="str">
        <x:v>01_CONTROL</x:v>
      </x:c>
      <x:c r="C113" s="64" t="str">
        <x:v>B22</x:v>
      </x:c>
      <x:c r="D113" s="64" t="str">
        <x:v>string</x:v>
      </x:c>
      <x:c r="E113" s="64" t="str"/>
      <x:c r="F113" s="64" t="str">
        <x:v>Sí</x:v>
      </x:c>
      <x:c r="G113" s="64" t="str">
        <x:v>template</x:v>
      </x:c>
      <x:c r="H113" s="64" t="str">
        <x:v>must_equal_expected</x:v>
      </x:c>
      <x:c r="I113" s="64" t="str">
        <x:v>HIGH</x:v>
      </x:c>
      <x:c r="J113" s="64" t="str">
        <x:v>No</x:v>
      </x:c>
      <x:c r="K113" s="64" t="str"/>
      <x:c r="L113" s="64" t="str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4" t="str">
        <x:v>valuation_run_id</x:v>
      </x:c>
      <x:c r="B114" s="64" t="str">
        <x:v>01_CONTROL</x:v>
      </x:c>
      <x:c r="C114" s="64" t="str">
        <x:v>B23</x:v>
      </x:c>
      <x:c r="D114" s="64" t="str">
        <x:v>string</x:v>
      </x:c>
      <x:c r="E114" s="64" t="str"/>
      <x:c r="F114" s="64" t="str">
        <x:v>Sí</x:v>
      </x:c>
      <x:c r="G114" s="64" t="str">
        <x:v>backend</x:v>
      </x:c>
      <x:c r="H114" s="64" t="str">
        <x:v>no vacío</x:v>
      </x:c>
      <x:c r="I114" s="64" t="str">
        <x:v>HIGH</x:v>
      </x:c>
      <x:c r="J114" s="64" t="str">
        <x:v>Sí</x:v>
      </x:c>
      <x:c r="K114" s="64" t="str"/>
      <x:c r="L114" s="64" t="str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 t="str">
        <x:v>input_snapshot_id</x:v>
      </x:c>
      <x:c r="B115" s="62" t="str">
        <x:v>01_CONTROL</x:v>
      </x:c>
      <x:c r="C115" s="62" t="str">
        <x:v>B24</x:v>
      </x:c>
      <x:c r="D115" s="62" t="str">
        <x:v>string</x:v>
      </x:c>
      <x:c r="E115" s="62" t="str"/>
      <x:c r="F115" s="62" t="str">
        <x:v>Sí</x:v>
      </x:c>
      <x:c r="G115" s="62" t="str">
        <x:v>backend</x:v>
      </x:c>
      <x:c r="H115" s="62" t="str">
        <x:v>no vacío</x:v>
      </x:c>
      <x:c r="I115" s="62" t="str">
        <x:v>HIGH</x:v>
      </x:c>
      <x:c r="J115" s="62" t="str">
        <x:v>Sí</x:v>
      </x:c>
      <x:c r="K115" s="62" t="str"/>
      <x:c r="L115" s="62" t="str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 t="str">
        <x:v>reporting_currency</x:v>
      </x:c>
      <x:c r="B116" s="62" t="str">
        <x:v>01_CONTROL</x:v>
      </x:c>
      <x:c r="C116" s="62" t="str">
        <x:v>B25</x:v>
      </x:c>
      <x:c r="D116" s="62" t="str">
        <x:v>string</x:v>
      </x:c>
      <x:c r="E116" s="62" t="str">
        <x:v>ISO 4217</x:v>
      </x:c>
      <x:c r="F116" s="62" t="str">
        <x:v>Sí</x:v>
      </x:c>
      <x:c r="G116" s="62" t="str">
        <x:v>snapshot</x:v>
      </x:c>
      <x:c r="H116" s="62" t="str">
        <x:v>3 letras</x:v>
      </x:c>
      <x:c r="I116" s="62" t="str">
        <x:v>HIGH</x:v>
      </x:c>
      <x:c r="J116" s="62" t="str">
        <x:v>Sí</x:v>
      </x:c>
      <x:c r="K116" s="62" t="str"/>
      <x:c r="L116" s="62" t="str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 t="str">
        <x:v>valuation_currency</x:v>
      </x:c>
      <x:c r="B117" s="62" t="str">
        <x:v>01_CONTROL</x:v>
      </x:c>
      <x:c r="C117" s="62" t="str">
        <x:v>B26</x:v>
      </x:c>
      <x:c r="D117" s="62" t="str">
        <x:v>string</x:v>
      </x:c>
      <x:c r="E117" s="62" t="str">
        <x:v>ISO 4217</x:v>
      </x:c>
      <x:c r="F117" s="62" t="str">
        <x:v>Sí</x:v>
      </x:c>
      <x:c r="G117" s="62" t="str">
        <x:v>snapshot</x:v>
      </x:c>
      <x:c r="H117" s="62" t="str">
        <x:v>3 letras</x:v>
      </x:c>
      <x:c r="I117" s="62" t="str">
        <x:v>HIGH</x:v>
      </x:c>
      <x:c r="J117" s="62" t="str">
        <x:v>Sí</x:v>
      </x:c>
      <x:c r="K117" s="62" t="str"/>
      <x:c r="L117" s="62" t="str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 t="str">
        <x:v>fx_rate_used</x:v>
      </x:c>
      <x:c r="B118" s="62" t="str">
        <x:v>01_CONTROL</x:v>
      </x:c>
      <x:c r="C118" s="62" t="str">
        <x:v>B27</x:v>
      </x:c>
      <x:c r="D118" s="62" t="str">
        <x:v>number</x:v>
      </x:c>
      <x:c r="E118" s="62" t="str">
        <x:v>ratio</x:v>
      </x:c>
      <x:c r="F118" s="62" t="str">
        <x:v>Sí</x:v>
      </x:c>
      <x:c r="G118" s="62" t="str">
        <x:v>snapshot</x:v>
      </x:c>
      <x:c r="H118" s="62" t="str">
        <x:v>&gt;0</x:v>
      </x:c>
      <x:c r="I118" s="62" t="str">
        <x:v>HIGH</x:v>
      </x:c>
      <x:c r="J118" s="62" t="str">
        <x:v>Sí</x:v>
      </x:c>
      <x:c r="K118" s="62" t="str"/>
      <x:c r="L118" s="62" t="str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 t="str">
        <x:v>risk_free_rate</x:v>
      </x:c>
      <x:c r="B119" s="62" t="str">
        <x:v>01_CONTROL</x:v>
      </x:c>
      <x:c r="C119" s="62" t="str">
        <x:v>B28</x:v>
      </x:c>
      <x:c r="D119" s="62" t="str">
        <x:v>number</x:v>
      </x:c>
      <x:c r="E119" s="62" t="str">
        <x:v>%</x:v>
      </x:c>
      <x:c r="F119" s="62" t="str">
        <x:v>Sí</x:v>
      </x:c>
      <x:c r="G119" s="62" t="str">
        <x:v>coste capital</x:v>
      </x:c>
      <x:c r="H119" s="62" t="str">
        <x:v>&gt;=0</x:v>
      </x:c>
      <x:c r="I119" s="62" t="str">
        <x:v>HIGH</x:v>
      </x:c>
      <x:c r="J119" s="62" t="str">
        <x:v>Sí</x:v>
      </x:c>
      <x:c r="K119" s="62" t="str"/>
      <x:c r="L119" s="62" t="str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 t="str">
        <x:v>equity_risk_premium</x:v>
      </x:c>
      <x:c r="B120" s="62" t="str">
        <x:v>01_CONTROL</x:v>
      </x:c>
      <x:c r="C120" s="62" t="str">
        <x:v>B29</x:v>
      </x:c>
      <x:c r="D120" s="62" t="str">
        <x:v>number</x:v>
      </x:c>
      <x:c r="E120" s="62" t="str">
        <x:v>%</x:v>
      </x:c>
      <x:c r="F120" s="62" t="str">
        <x:v>Sí</x:v>
      </x:c>
      <x:c r="G120" s="62" t="str">
        <x:v>coste capital</x:v>
      </x:c>
      <x:c r="H120" s="62" t="str">
        <x:v>&gt;=0</x:v>
      </x:c>
      <x:c r="I120" s="62" t="str">
        <x:v>HIGH</x:v>
      </x:c>
      <x:c r="J120" s="62" t="str">
        <x:v>Sí</x:v>
      </x:c>
      <x:c r="K120" s="62" t="str"/>
      <x:c r="L120" s="62" t="str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  <x:row r="121">
      <x:c r="A121" t="str">
        <x:v>country_risk_premium</x:v>
      </x:c>
      <x:c r="B121" t="str">
        <x:v>01_CONTROL</x:v>
      </x:c>
      <x:c r="C121" t="str">
        <x:v>B30</x:v>
      </x:c>
      <x:c r="D121" t="str">
        <x:v>number</x:v>
      </x:c>
      <x:c r="E121" t="str">
        <x:v>%</x:v>
      </x:c>
      <x:c r="F121" t="str">
        <x:v>Sí</x:v>
      </x:c>
      <x:c r="G121" t="str">
        <x:v>coste capital</x:v>
      </x:c>
      <x:c r="H121" t="str">
        <x:v>&gt;=0</x:v>
      </x:c>
      <x:c r="I121" t="str">
        <x:v>HIGH</x:v>
      </x:c>
      <x:c r="J121" t="str">
        <x:v>Sí</x:v>
      </x:c>
      <x:c r="K121" t="str"/>
      <x:c r="L121" t="str"/>
    </x:row>
    <x:row r="122">
      <x:c r="A122" t="str">
        <x:v>size_premium</x:v>
      </x:c>
      <x:c r="B122" t="str">
        <x:v>01_CONTROL</x:v>
      </x:c>
      <x:c r="C122" t="str">
        <x:v>B31</x:v>
      </x:c>
      <x:c r="D122" t="str">
        <x:v>number</x:v>
      </x:c>
      <x:c r="E122" t="str">
        <x:v>%</x:v>
      </x:c>
      <x:c r="F122" t="str">
        <x:v>Sí</x:v>
      </x:c>
      <x:c r="G122" t="str">
        <x:v>coste capital</x:v>
      </x:c>
      <x:c r="H122" t="str">
        <x:v>&gt;=0</x:v>
      </x:c>
      <x:c r="I122" t="str">
        <x:v>HIGH</x:v>
      </x:c>
      <x:c r="J122" t="str">
        <x:v>Sí</x:v>
      </x:c>
      <x:c r="K122" t="str"/>
      <x:c r="L122" t="str"/>
    </x:row>
    <x:row r="123">
      <x:c r="A123" t="str">
        <x:v>tax_rate</x:v>
      </x:c>
      <x:c r="B123" t="str">
        <x:v>01_CONTROL</x:v>
      </x:c>
      <x:c r="C123" t="str">
        <x:v>B32</x:v>
      </x:c>
      <x:c r="D123" t="str">
        <x:v>number</x:v>
      </x:c>
      <x:c r="E123" t="str">
        <x:v>%</x:v>
      </x:c>
      <x:c r="F123" t="str">
        <x:v>Sí</x:v>
      </x:c>
      <x:c r="G123" t="str">
        <x:v>snapshot</x:v>
      </x:c>
      <x:c r="H123" t="str">
        <x:v>0..1</x:v>
      </x:c>
      <x:c r="I123" t="str">
        <x:v>HIGH</x:v>
      </x:c>
      <x:c r="J123" t="str">
        <x:v>Sí</x:v>
      </x:c>
      <x:c r="K123" t="str"/>
      <x:c r="L123" t="str"/>
    </x:row>
    <x:row r="124">
      <x:c r="A124" t="str">
        <x:v>interest_coverage</x:v>
      </x:c>
      <x:c r="B124" t="str">
        <x:v>01_CONTROL</x:v>
      </x:c>
      <x:c r="C124" t="str">
        <x:v>B33</x:v>
      </x:c>
      <x:c r="D124" t="str">
        <x:v>number</x:v>
      </x:c>
      <x:c r="E124" t="str">
        <x:v>x</x:v>
      </x:c>
      <x:c r="F124" t="str">
        <x:v>Sí</x:v>
      </x:c>
      <x:c r="G124" t="str">
        <x:v>KPI</x:v>
      </x:c>
      <x:c r="H124" t="str">
        <x:v>&gt;=0</x:v>
      </x:c>
      <x:c r="I124" t="str">
        <x:v>HIGH</x:v>
      </x:c>
      <x:c r="J124" t="str">
        <x:v>Sí</x:v>
      </x:c>
      <x:c r="K124" t="str"/>
      <x:c r="L124" t="str"/>
    </x:row>
    <x:row r="125">
      <x:c r="A125" t="str">
        <x:v>synthetic_rating</x:v>
      </x:c>
      <x:c r="B125" t="str">
        <x:v>01_CONTROL</x:v>
      </x:c>
      <x:c r="C125" t="str">
        <x:v>B34</x:v>
      </x:c>
      <x:c r="D125" t="str">
        <x:v>string</x:v>
      </x:c>
      <x:c r="E125" t="str"/>
      <x:c r="F125" t="str">
        <x:v>Sí</x:v>
      </x:c>
      <x:c r="G125" t="str">
        <x:v>rating sintético</x:v>
      </x:c>
      <x:c r="H125" t="str">
        <x:v>no vacío</x:v>
      </x:c>
      <x:c r="I125" t="str">
        <x:v>HIGH</x:v>
      </x:c>
      <x:c r="J125" t="str">
        <x:v>Sí</x:v>
      </x:c>
      <x:c r="K125" t="str"/>
      <x:c r="L125" t="str"/>
    </x:row>
    <x:row r="126">
      <x:c r="A126" t="str">
        <x:v>credit_spread</x:v>
      </x:c>
      <x:c r="B126" t="str">
        <x:v>01_CONTROL</x:v>
      </x:c>
      <x:c r="C126" t="str">
        <x:v>B35</x:v>
      </x:c>
      <x:c r="D126" t="str">
        <x:v>number</x:v>
      </x:c>
      <x:c r="E126" t="str">
        <x:v>%</x:v>
      </x:c>
      <x:c r="F126" t="str">
        <x:v>Sí</x:v>
      </x:c>
      <x:c r="G126" t="str">
        <x:v>rating sintético</x:v>
      </x:c>
      <x:c r="H126" t="str">
        <x:v>&gt;=0</x:v>
      </x:c>
      <x:c r="I126" t="str">
        <x:v>HIGH</x:v>
      </x:c>
      <x:c r="J126" t="str">
        <x:v>Sí</x:v>
      </x:c>
      <x:c r="K126" t="str"/>
      <x:c r="L126" t="str"/>
    </x:row>
    <x:row r="127">
      <x:c r="A127" t="str">
        <x:v>terminal_growth_max</x:v>
      </x:c>
      <x:c r="B127" t="str">
        <x:v>01_CONTROL</x:v>
      </x:c>
      <x:c r="C127" t="str">
        <x:v>B36</x:v>
      </x:c>
      <x:c r="D127" t="str">
        <x:v>number</x:v>
      </x:c>
      <x:c r="E127" t="str">
        <x:v>%</x:v>
      </x:c>
      <x:c r="F127" t="str">
        <x:v>Sí</x:v>
      </x:c>
      <x:c r="G127" t="str">
        <x:v>coste capital</x:v>
      </x:c>
      <x:c r="H127" t="str">
        <x:v>-5%..5%</x:v>
      </x:c>
      <x:c r="I127" t="str">
        <x:v>HIGH</x:v>
      </x:c>
      <x:c r="J127" t="str">
        <x:v>Sí</x:v>
      </x:c>
      <x:c r="K127" t="str"/>
      <x:c r="L127" t="str"/>
    </x:row>
    <x:row r="128">
      <x:c r="A128" t="str">
        <x:v>sector_beta</x:v>
      </x:c>
      <x:c r="B128" t="str">
        <x:v>01_CONTROL</x:v>
      </x:c>
      <x:c r="C128" t="str">
        <x:v>B37</x:v>
      </x:c>
      <x:c r="D128" t="str">
        <x:v>number</x:v>
      </x:c>
      <x:c r="E128" t="str">
        <x:v>x</x:v>
      </x:c>
      <x:c r="F128" t="str">
        <x:v>Sí</x:v>
      </x:c>
      <x:c r="G128" t="str">
        <x:v>SECTOR</x:v>
      </x:c>
      <x:c r="H128" t="str">
        <x:v>&gt;0</x:v>
      </x:c>
      <x:c r="I128" t="str">
        <x:v>HIGH</x:v>
      </x:c>
      <x:c r="J128" t="str">
        <x:v>Sí</x:v>
      </x:c>
      <x:c r="K128" t="str"/>
      <x:c r="L128" t="str"/>
    </x:row>
    <x:row r="130">
      <x:c r="A130" t="str">
        <x:v>wacc_adjustments.conservative.prima_iliquidez</x:v>
      </x:c>
      <x:c r="B130" t="str">
        <x:v>07_WACC</x:v>
      </x:c>
      <x:c r="C130" t="str">
        <x:v>H30</x:v>
      </x:c>
      <x:c r="D130" t="str">
        <x:v>number</x:v>
      </x:c>
      <x:c r="E130" t="str">
        <x:v>decimal</x:v>
      </x:c>
      <x:c r="F130" t="str">
        <x:v>Sí</x:v>
      </x:c>
      <x:c r="G130" t="str">
        <x:v>motor reglas auditadas</x:v>
      </x:c>
      <x:c r="H130" t="str">
        <x:v>valor explícito; no asumir cero</x:v>
      </x:c>
      <x:c r="I130" t="str">
        <x:v>HIGH</x:v>
      </x:c>
      <x:c r="J130" t="str">
        <x:v>Sí</x:v>
      </x:c>
      <x:c r="K130" t="str">
        <x:v>MySQL % -&gt; /100 si procede</x:v>
      </x:c>
      <x:c r="L130" t="str">
        <x:v>Requiere procedencia y no doble conteo</x:v>
      </x:c>
    </x:row>
    <x:row r="131">
      <x:c r="A131" t="str">
        <x:v>wacc_adjustments.conservative.prima_tamano</x:v>
      </x:c>
      <x:c r="B131" t="str">
        <x:v>07_WACC</x:v>
      </x:c>
      <x:c r="C131" t="str">
        <x:v>H31</x:v>
      </x:c>
      <x:c r="D131" t="str">
        <x:v>number</x:v>
      </x:c>
      <x:c r="E131" t="str">
        <x:v>decimal</x:v>
      </x:c>
      <x:c r="F131" t="str">
        <x:v>Sí</x:v>
      </x:c>
      <x:c r="G131" t="str">
        <x:v>motor reglas auditadas</x:v>
      </x:c>
      <x:c r="H131" t="str">
        <x:v>valor explícito; no asumir cero</x:v>
      </x:c>
      <x:c r="I131" t="str">
        <x:v>HIGH</x:v>
      </x:c>
      <x:c r="J131" t="str">
        <x:v>Sí</x:v>
      </x:c>
      <x:c r="K131" t="str">
        <x:v>MySQL % -&gt; /100 si procede</x:v>
      </x:c>
      <x:c r="L131" t="str">
        <x:v>Requiere procedencia y no doble conteo</x:v>
      </x:c>
    </x:row>
    <x:row r="132">
      <x:c r="A132" t="str">
        <x:v>wacc_adjustments.conservative.prima_concentracion_clientes</x:v>
      </x:c>
      <x:c r="B132" t="str">
        <x:v>07_WACC</x:v>
      </x:c>
      <x:c r="C132" t="str">
        <x:v>H32</x:v>
      </x:c>
      <x:c r="D132" t="str">
        <x:v>number</x:v>
      </x:c>
      <x:c r="E132" t="str">
        <x:v>decimal</x:v>
      </x:c>
      <x:c r="F132" t="str">
        <x:v>Sí</x:v>
      </x:c>
      <x:c r="G132" t="str">
        <x:v>motor reglas auditadas</x:v>
      </x:c>
      <x:c r="H132" t="str">
        <x:v>valor explícito; no asumir cero</x:v>
      </x:c>
      <x:c r="I132" t="str">
        <x:v>HIGH</x:v>
      </x:c>
      <x:c r="J132" t="str">
        <x:v>Sí</x:v>
      </x:c>
      <x:c r="K132" t="str">
        <x:v>MySQL % -&gt; /100 si procede</x:v>
      </x:c>
      <x:c r="L132" t="str">
        <x:v>Requiere procedencia y no doble conteo</x:v>
      </x:c>
    </x:row>
    <x:row r="133">
      <x:c r="A133" t="str">
        <x:v>wacc_adjustments.conservative.otros_ajustes_wacc</x:v>
      </x:c>
      <x:c r="B133" t="str">
        <x:v>07_WACC</x:v>
      </x:c>
      <x:c r="C133" t="str">
        <x:v>H33</x:v>
      </x:c>
      <x:c r="D133" t="str">
        <x:v>number</x:v>
      </x:c>
      <x:c r="E133" t="str">
        <x:v>decimal</x:v>
      </x:c>
      <x:c r="F133" t="str">
        <x:v>Sí</x:v>
      </x:c>
      <x:c r="G133" t="str">
        <x:v>motor reglas auditadas</x:v>
      </x:c>
      <x:c r="H133" t="str">
        <x:v>valor explícito; no asumir cero</x:v>
      </x:c>
      <x:c r="I133" t="str">
        <x:v>HIGH</x:v>
      </x:c>
      <x:c r="J133" t="str">
        <x:v>Sí</x:v>
      </x:c>
      <x:c r="K133" t="str">
        <x:v>MySQL % -&gt; /100 si procede</x:v>
      </x:c>
      <x:c r="L133" t="str">
        <x:v>Requiere procedencia y no doble conteo</x:v>
      </x:c>
    </x:row>
    <x:row r="134">
      <x:c r="A134" t="str">
        <x:v>wacc_adjustments.base.prima_iliquidez</x:v>
      </x:c>
      <x:c r="B134" t="str">
        <x:v>07_WACC</x:v>
      </x:c>
      <x:c r="C134" t="str">
        <x:v>J30</x:v>
      </x:c>
      <x:c r="D134" t="str">
        <x:v>number</x:v>
      </x:c>
      <x:c r="E134" t="str">
        <x:v>decimal</x:v>
      </x:c>
      <x:c r="F134" t="str">
        <x:v>Sí</x:v>
      </x:c>
      <x:c r="G134" t="str">
        <x:v>motor reglas auditadas</x:v>
      </x:c>
      <x:c r="H134" t="str">
        <x:v>valor explícito; no asumir cero</x:v>
      </x:c>
      <x:c r="I134" t="str">
        <x:v>HIGH</x:v>
      </x:c>
      <x:c r="J134" t="str">
        <x:v>Sí</x:v>
      </x:c>
      <x:c r="K134" t="str">
        <x:v>MySQL % -&gt; /100 si procede</x:v>
      </x:c>
      <x:c r="L134" t="str">
        <x:v>Requiere procedencia y no doble conteo</x:v>
      </x:c>
    </x:row>
    <x:row r="135">
      <x:c r="A135" t="str">
        <x:v>wacc_adjustments.base.prima_tamano</x:v>
      </x:c>
      <x:c r="B135" t="str">
        <x:v>07_WACC</x:v>
      </x:c>
      <x:c r="C135" t="str">
        <x:v>J31</x:v>
      </x:c>
      <x:c r="D135" t="str">
        <x:v>number</x:v>
      </x:c>
      <x:c r="E135" t="str">
        <x:v>decimal</x:v>
      </x:c>
      <x:c r="F135" t="str">
        <x:v>Sí</x:v>
      </x:c>
      <x:c r="G135" t="str">
        <x:v>motor reglas auditadas</x:v>
      </x:c>
      <x:c r="H135" t="str">
        <x:v>valor explícito; no asumir cero</x:v>
      </x:c>
      <x:c r="I135" t="str">
        <x:v>HIGH</x:v>
      </x:c>
      <x:c r="J135" t="str">
        <x:v>Sí</x:v>
      </x:c>
      <x:c r="K135" t="str">
        <x:v>MySQL % -&gt; /100 si procede</x:v>
      </x:c>
      <x:c r="L135" t="str">
        <x:v>Requiere procedencia y no doble conteo</x:v>
      </x:c>
    </x:row>
    <x:row r="136">
      <x:c r="A136" t="str">
        <x:v>wacc_adjustments.base.prima_concentracion_clientes</x:v>
      </x:c>
      <x:c r="B136" t="str">
        <x:v>07_WACC</x:v>
      </x:c>
      <x:c r="C136" t="str">
        <x:v>J32</x:v>
      </x:c>
      <x:c r="D136" t="str">
        <x:v>number</x:v>
      </x:c>
      <x:c r="E136" t="str">
        <x:v>decimal</x:v>
      </x:c>
      <x:c r="F136" t="str">
        <x:v>Sí</x:v>
      </x:c>
      <x:c r="G136" t="str">
        <x:v>motor reglas auditadas</x:v>
      </x:c>
      <x:c r="H136" t="str">
        <x:v>valor explícito; no asumir cero</x:v>
      </x:c>
      <x:c r="I136" t="str">
        <x:v>HIGH</x:v>
      </x:c>
      <x:c r="J136" t="str">
        <x:v>Sí</x:v>
      </x:c>
      <x:c r="K136" t="str">
        <x:v>MySQL % -&gt; /100 si procede</x:v>
      </x:c>
      <x:c r="L136" t="str">
        <x:v>Requiere procedencia y no doble conteo</x:v>
      </x:c>
    </x:row>
    <x:row r="137">
      <x:c r="A137" t="str">
        <x:v>wacc_adjustments.base.otros_ajustes_wacc</x:v>
      </x:c>
      <x:c r="B137" t="str">
        <x:v>07_WACC</x:v>
      </x:c>
      <x:c r="C137" t="str">
        <x:v>J33</x:v>
      </x:c>
      <x:c r="D137" t="str">
        <x:v>number</x:v>
      </x:c>
      <x:c r="E137" t="str">
        <x:v>decimal</x:v>
      </x:c>
      <x:c r="F137" t="str">
        <x:v>Sí</x:v>
      </x:c>
      <x:c r="G137" t="str">
        <x:v>motor reglas auditadas</x:v>
      </x:c>
      <x:c r="H137" t="str">
        <x:v>valor explícito; no asumir cero</x:v>
      </x:c>
      <x:c r="I137" t="str">
        <x:v>HIGH</x:v>
      </x:c>
      <x:c r="J137" t="str">
        <x:v>Sí</x:v>
      </x:c>
      <x:c r="K137" t="str">
        <x:v>MySQL % -&gt; /100 si procede</x:v>
      </x:c>
      <x:c r="L137" t="str">
        <x:v>Requiere procedencia y no doble conteo</x:v>
      </x:c>
    </x:row>
    <x:row r="138">
      <x:c r="A138" t="str">
        <x:v>wacc_adjustments.optimistic.prima_iliquidez</x:v>
      </x:c>
      <x:c r="B138" t="str">
        <x:v>07_WACC</x:v>
      </x:c>
      <x:c r="C138" t="str">
        <x:v>L30</x:v>
      </x:c>
      <x:c r="D138" t="str">
        <x:v>number</x:v>
      </x:c>
      <x:c r="E138" t="str">
        <x:v>decimal</x:v>
      </x:c>
      <x:c r="F138" t="str">
        <x:v>Sí</x:v>
      </x:c>
      <x:c r="G138" t="str">
        <x:v>motor reglas auditadas</x:v>
      </x:c>
      <x:c r="H138" t="str">
        <x:v>valor explícito; no asumir cero</x:v>
      </x:c>
      <x:c r="I138" t="str">
        <x:v>HIGH</x:v>
      </x:c>
      <x:c r="J138" t="str">
        <x:v>Sí</x:v>
      </x:c>
      <x:c r="K138" t="str">
        <x:v>MySQL % -&gt; /100 si procede</x:v>
      </x:c>
      <x:c r="L138" t="str">
        <x:v>Requiere procedencia y no doble conteo</x:v>
      </x:c>
    </x:row>
    <x:row r="139">
      <x:c r="A139" t="str">
        <x:v>wacc_adjustments.optimistic.prima_tamano</x:v>
      </x:c>
      <x:c r="B139" t="str">
        <x:v>07_WACC</x:v>
      </x:c>
      <x:c r="C139" t="str">
        <x:v>L31</x:v>
      </x:c>
      <x:c r="D139" t="str">
        <x:v>number</x:v>
      </x:c>
      <x:c r="E139" t="str">
        <x:v>decimal</x:v>
      </x:c>
      <x:c r="F139" t="str">
        <x:v>Sí</x:v>
      </x:c>
      <x:c r="G139" t="str">
        <x:v>motor reglas auditadas</x:v>
      </x:c>
      <x:c r="H139" t="str">
        <x:v>valor explícito; no asumir cero</x:v>
      </x:c>
      <x:c r="I139" t="str">
        <x:v>HIGH</x:v>
      </x:c>
      <x:c r="J139" t="str">
        <x:v>Sí</x:v>
      </x:c>
      <x:c r="K139" t="str">
        <x:v>MySQL % -&gt; /100 si procede</x:v>
      </x:c>
      <x:c r="L139" t="str">
        <x:v>Requiere procedencia y no doble conteo</x:v>
      </x:c>
    </x:row>
    <x:row r="140">
      <x:c r="A140" t="str">
        <x:v>wacc_adjustments.optimistic.prima_concentracion_clientes</x:v>
      </x:c>
      <x:c r="B140" t="str">
        <x:v>07_WACC</x:v>
      </x:c>
      <x:c r="C140" t="str">
        <x:v>L32</x:v>
      </x:c>
      <x:c r="D140" t="str">
        <x:v>number</x:v>
      </x:c>
      <x:c r="E140" t="str">
        <x:v>decimal</x:v>
      </x:c>
      <x:c r="F140" t="str">
        <x:v>Sí</x:v>
      </x:c>
      <x:c r="G140" t="str">
        <x:v>motor reglas auditadas</x:v>
      </x:c>
      <x:c r="H140" t="str">
        <x:v>valor explícito; no asumir cero</x:v>
      </x:c>
      <x:c r="I140" t="str">
        <x:v>HIGH</x:v>
      </x:c>
      <x:c r="J140" t="str">
        <x:v>Sí</x:v>
      </x:c>
      <x:c r="K140" t="str">
        <x:v>MySQL % -&gt; /100 si procede</x:v>
      </x:c>
      <x:c r="L140" t="str">
        <x:v>Requiere procedencia y no doble conteo</x:v>
      </x:c>
    </x:row>
    <x:row r="141">
      <x:c r="A141" t="str">
        <x:v>wacc_adjustments.optimistic.otros_ajustes_wacc</x:v>
      </x:c>
      <x:c r="B141" t="str">
        <x:v>07_WACC</x:v>
      </x:c>
      <x:c r="C141" t="str">
        <x:v>L33</x:v>
      </x:c>
      <x:c r="D141" t="str">
        <x:v>number</x:v>
      </x:c>
      <x:c r="E141" t="str">
        <x:v>decimal</x:v>
      </x:c>
      <x:c r="F141" t="str">
        <x:v>Sí</x:v>
      </x:c>
      <x:c r="G141" t="str">
        <x:v>motor reglas auditadas</x:v>
      </x:c>
      <x:c r="H141" t="str">
        <x:v>valor explícito; no asumir cero</x:v>
      </x:c>
      <x:c r="I141" t="str">
        <x:v>HIGH</x:v>
      </x:c>
      <x:c r="J141" t="str">
        <x:v>Sí</x:v>
      </x:c>
      <x:c r="K141" t="str">
        <x:v>MySQL % -&gt; /100 si procede</x:v>
      </x:c>
      <x:c r="L141" t="str">
        <x:v>Requiere procedencia y no doble conteo</x:v>
      </x:c>
    </x:row>
  </x:sheetData>
  <x:mergeCells>
    <x:mergeCell ref="A1:L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4" hidden="0" customWidth="1"/>
    <x:col min="4" max="4" width="16" hidden="0" customWidth="1"/>
    <x:col min="5" max="5" width="18" hidden="0" customWidth="1"/>
    <x:col min="6" max="6" width="18" hidden="0" customWidth="1"/>
    <x:col min="7" max="7" width="36" hidden="0" customWidth="1"/>
  </x:cols>
  <x:sheetData>
    <x:row r="1" ht="28" customHeight="1">
      <x:c r="A1" s="5" t="str">
        <x:v>VALIDACIONES UNIVERSALES Y DE FAMILIA</x:v>
      </x:c>
      <x:c r="B1" s="5"/>
      <x:c r="C1" s="5"/>
      <x:c r="D1" s="5"/>
      <x:c r="E1" s="5"/>
      <x:c r="F1" s="5"/>
      <x:c r="G1" s="5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rule_code</x:v>
      </x:c>
      <x:c r="B3" s="22" t="str">
        <x:v>result</x:v>
      </x:c>
      <x:c r="C3" s="22" t="str">
        <x:v>severity</x:v>
      </x:c>
      <x:c r="D3" s="22" t="str">
        <x:v>status</x:v>
      </x:c>
      <x:c r="E3" s="22" t="str">
        <x:v>family</x:v>
      </x:c>
      <x:c r="F3" s="22" t="str">
        <x:v>action</x:v>
      </x:c>
      <x:c r="G3" s="22" t="str">
        <x:v>comment</x:v>
      </x:c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price_positive</x:v>
      </x:c>
      <x:c r="B4" s="62" t="str">
        <x:f>IF('01_CONTROL'!B12&gt;0,"OK","ERROR")</x:f>
        <x:v>ERROR</x:v>
      </x:c>
      <x:c r="C4" s="62" t="str">
        <x:v>ALTA</x:v>
      </x:c>
      <x:c r="D4" s="62" t="str">
        <x:f>IF(B4="OK","APPROVED",IF(B4="ERROR","BLOCKED","REVIEW"))</x:f>
        <x:v>BLOCKED</x:v>
      </x:c>
      <x:c r="E4" s="62" t="str">
        <x:v>UNIVERSAL</x:v>
      </x:c>
      <x:c r="F4" s="62" t="str">
        <x:v>BLOQUEAR</x:v>
      </x:c>
      <x:c r="G4" s="62" t="str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shares_positive</x:v>
      </x:c>
      <x:c r="B5" s="62" t="str">
        <x:f>IF('01_CONTROL'!B13&gt;0,"OK","ERROR")</x:f>
        <x:v>ERROR</x:v>
      </x:c>
      <x:c r="C5" s="62" t="str">
        <x:v>ALTA</x:v>
      </x:c>
      <x:c r="D5" s="62" t="str">
        <x:f>IF(B5="OK","APPROVED",IF(B5="ERROR","BLOCKED","REVIEW"))</x:f>
        <x:v>BLOCKED</x:v>
      </x:c>
      <x:c r="E5" s="62" t="str">
        <x:v>UNIVERSAL</x:v>
      </x:c>
      <x:c r="F5" s="62" t="str">
        <x:v>BLOQUEAR</x:v>
      </x:c>
      <x:c r="G5" s="62" t="str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revenue_fy0_positive</x:v>
      </x:c>
      <x:c r="B6" s="62" t="str">
        <x:f>IF('03_NORMALIZACION'!E4&gt;0,"OK","ERROR")</x:f>
        <x:v>ERROR</x:v>
      </x:c>
      <x:c r="C6" s="62" t="str">
        <x:v>ALTA</x:v>
      </x:c>
      <x:c r="D6" s="62" t="str">
        <x:f>IF(B6="OK","APPROVED",IF(B6="ERROR","BLOCKED","REVIEW"))</x:f>
        <x:v>BLOCKED</x:v>
      </x:c>
      <x:c r="E6" s="62" t="str">
        <x:v>UNIVERSAL</x:v>
      </x:c>
      <x:c r="F6" s="62" t="str">
        <x:v>BLOQUEAR</x:v>
      </x:c>
      <x:c r="G6" s="62" t="str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wacc_gt_terminal</x:v>
      </x:c>
      <x:c r="B7" s="62" t="str">
        <x:f>IF('07_WACC'!B27&gt;'06_DRIVERS'!J10,"OK","ERROR")</x:f>
        <x:v>ERROR</x:v>
      </x:c>
      <x:c r="C7" s="62" t="str">
        <x:v>ALTA</x:v>
      </x:c>
      <x:c r="D7" s="62" t="str">
        <x:f>IF(B7="OK","APPROVED",IF(B7="ERROR","BLOCKED","REVIEW"))</x:f>
        <x:v>BLOCKED</x:v>
      </x:c>
      <x:c r="E7" s="62" t="str">
        <x:v>UNIVERSAL</x:v>
      </x:c>
      <x:c r="F7" s="62" t="str">
        <x:v>BLOQUEAR</x:v>
      </x:c>
      <x:c r="G7" s="62" t="str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balance_equation</x:v>
      </x:c>
      <x:c r="B8" s="62" t="str">
        <x:f>IFERROR(IF(OR(N('02_DATOS_RAW'!E18)=0,ABS(N('02_DATOS_RAW'!E18)-(N('02_DATOS_RAW'!E17)+N('02_DATOS_RAW'!E19)))/MAX(1,ABS(N('02_DATOS_RAW'!E18)))&lt;0.02),"OK","REVIEW"),"REVIEW")</x:f>
        <x:v>OK</x:v>
      </x:c>
      <x:c r="C8" s="62" t="str">
        <x:v>MEDIA</x:v>
      </x:c>
      <x:c r="D8" s="62" t="str">
        <x:f>IF(B8="OK","APPROVED",IF(B8="ERROR","BLOCKED","REVIEW"))</x:f>
        <x:v>APPROVED</x:v>
      </x:c>
      <x:c r="E8" s="62" t="str">
        <x:v>UNIVERSAL</x:v>
      </x:c>
      <x:c r="F8" s="62" t="str">
        <x:v>REVISAR</x:v>
      </x:c>
      <x:c r="G8" s="62" t="str">
        <x:v>Tolerancia 2%</x:v>
      </x:c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debt_cash_nonnegative</x:v>
      </x:c>
      <x:c r="B9" s="62" t="str">
        <x:f>IF(AND('01_CONTROL'!B14&gt;=0,'01_CONTROL'!B15&gt;=0),"OK","ERROR")</x:f>
        <x:v>OK</x:v>
      </x:c>
      <x:c r="C9" s="62" t="str">
        <x:v>ALTA</x:v>
      </x:c>
      <x:c r="D9" s="62" t="str">
        <x:f>IF(B9="OK","APPROVED",IF(B9="ERROR","BLOCKED","REVIEW"))</x:f>
        <x:v>APPROVED</x:v>
      </x:c>
      <x:c r="E9" s="62" t="str">
        <x:v>UNIVERSAL</x:v>
      </x:c>
      <x:c r="F9" s="62" t="str">
        <x:v>BLOQUEAR</x:v>
      </x:c>
      <x:c r="G9" s="62" t="str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news_within_limits</x:v>
      </x:c>
      <x:c r="B10" s="62" t="str">
        <x:f>IFERROR(IF(MAX(MAX('05_AJUSTES_NOTICIAS'!P4:P23),-MIN('05_AJUSTES_NOTICIAS'!P4:P23))&lt;=0.05,"OK","ERROR"),"REVIEW")</x:f>
        <x:v>OK</x:v>
      </x:c>
      <x:c r="C10" s="62" t="str">
        <x:v>ALTA</x:v>
      </x:c>
      <x:c r="D10" s="62" t="str">
        <x:f>IF(B10="OK","APPROVED",IF(B10="ERROR","BLOCKED","REVIEW"))</x:f>
        <x:v>APPROVED</x:v>
      </x:c>
      <x:c r="E10" s="62" t="str">
        <x:v>UNIVERSAL</x:v>
      </x:c>
      <x:c r="F10" s="62" t="str">
        <x:v>BLOQUEAR</x:v>
      </x:c>
      <x:c r="G10" s="62" t="str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confidence_not_low</x:v>
      </x:c>
      <x:c r="B11" s="62" t="str">
        <x:f>IF('01_CONTROL'!B20="LOW","REVIEW","OK")</x:f>
        <x:v>OK</x:v>
      </x:c>
      <x:c r="C11" s="62" t="str">
        <x:v>MEDIA</x:v>
      </x:c>
      <x:c r="D11" s="62" t="str">
        <x:f>IF(B11="OK","APPROVED",IF(B11="ERROR","BLOCKED","REVIEW"))</x:f>
        <x:v>APPROVED</x:v>
      </x:c>
      <x:c r="E11" s="62" t="str">
        <x:v>UNIVERSAL</x:v>
      </x:c>
      <x:c r="F11" s="62" t="str">
        <x:v>REVISAR</x:v>
      </x:c>
      <x:c r="G11" s="62" t="str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family_method</x:v>
      </x:c>
      <x:c r="B12" s="62" t="str">
        <x:f>IF(AND('01_CONTROL'!B21&lt;&gt;"",'01_CONTROL'!B21='01_CONTROL'!B22),"OK","ERROR")</x:f>
        <x:v>OK</x:v>
      </x:c>
      <x:c r="C12" s="62" t="str">
        <x:v>ALTA</x:v>
      </x:c>
      <x:c r="D12" s="62" t="str">
        <x:f>IF(B12="OK","APPROVED",IF(B12="ERROR","BLOCKED","REVIEW"))</x:f>
        <x:v>APPROVED</x:v>
      </x:c>
      <x:c r="E12" s="62" t="str">
        <x:v>PHARMA</x:v>
      </x:c>
      <x:c r="F12" s="62" t="str">
        <x:v>BLOQUEAR</x:v>
      </x:c>
      <x:c r="G12" s="62" t="str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wacc_inputs_complete</x:v>
      </x:c>
      <x:c r="B13" s="62" t="str">
        <x:f>IF(AND(ISNUMBER('01_CONTROL'!B28),ISNUMBER('01_CONTROL'!B29),'01_CONTROL'!B29&gt;=0,ISNUMBER('01_CONTROL'!B32),'01_CONTROL'!B32&gt;=0,'01_CONTROL'!B32&lt;=1,'01_CONTROL'!B37&gt;0),"OK","ERROR")</x:f>
        <x:v>ERROR</x:v>
      </x:c>
      <x:c r="C13" s="62" t="str">
        <x:v>ALTA</x:v>
      </x:c>
      <x:c r="D13" s="62" t="str">
        <x:f>IF(B13="OK","APPROVED",IF(B13="ERROR","BLOCKED","REVIEW"))</x:f>
        <x:v>BLOCKED</x:v>
      </x:c>
      <x:c r="E13" s="62" t="str">
        <x:v>UNIVERSAL</x:v>
      </x:c>
      <x:c r="F13" s="62" t="str">
        <x:v>BLOQUEAR</x:v>
      </x:c>
      <x:c r="G13" s="62" t="str">
        <x:v>ver documentación de control</x:v>
      </x:c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snapshot_trace</x:v>
      </x:c>
      <x:c r="B14" s="62" t="str">
        <x:f>IF(AND('01_CONTROL'!B23&lt;&gt;"",'01_CONTROL'!B24&lt;&gt;""),"OK","ERROR")</x:f>
        <x:v>ERROR</x:v>
      </x:c>
      <x:c r="C14" s="62" t="str">
        <x:v>ALTA</x:v>
      </x:c>
      <x:c r="D14" s="62" t="str">
        <x:f>IF(B14="OK","APPROVED",IF(B14="ERROR","BLOCKED","REVIEW"))</x:f>
        <x:v>BLOCKED</x:v>
      </x:c>
      <x:c r="E14" s="62" t="str">
        <x:v>UNIVERSAL</x:v>
      </x:c>
      <x:c r="F14" s="62" t="str">
        <x:v>BLOQUEAR</x:v>
      </x:c>
      <x:c r="G14" s="62" t="str">
        <x:v>RUN y snapshot obligatorios</x:v>
      </x:c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rating_present</x:v>
      </x:c>
      <x:c r="B15" s="62" t="str">
        <x:f>IF(AND('01_CONTROL'!B33&gt;=0,'01_CONTROL'!B34&lt;&gt;"",'01_CONTROL'!B35&gt;=0),"OK","ERROR")</x:f>
        <x:v>ERROR</x:v>
      </x:c>
      <x:c r="C15" s="62" t="str">
        <x:v>ALTA</x:v>
      </x:c>
      <x:c r="D15" s="62" t="str">
        <x:f>IF(B15="OK","APPROVED",IF(B15="ERROR","BLOCKED","REVIEW"))</x:f>
        <x:v>BLOCKED</x:v>
      </x:c>
      <x:c r="E15" s="62" t="str">
        <x:v>UNIVERSAL</x:v>
      </x:c>
      <x:c r="F15" s="62" t="str">
        <x:v>BLOQUEAR</x:v>
      </x:c>
      <x:c r="G15" s="62" t="str">
        <x:v>Rating sintético resuelto por backend</x:v>
      </x:c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wacc_scenarios</x:v>
      </x:c>
      <x:c r="B16" s="62" t="str">
        <x:f>IF(AND(ISNUMBER('07_WACC'!H35),ISNUMBER('07_WACC'!J35),ISNUMBER('07_WACC'!L35),ABS('07_WACC'!J36-1)&lt;0.00001),"OK","ERROR")</x:f>
        <x:v>ERROR</x:v>
      </x:c>
      <x:c r="C16" s="62" t="str">
        <x:v>ALTA</x:v>
      </x:c>
      <x:c r="D16" s="62" t="str">
        <x:f>IF(B16="OK","APPROVED",IF(B16="ERROR","BLOCKED","REVIEW"))</x:f>
        <x:v>BLOCKED</x:v>
      </x:c>
      <x:c r="E16" s="62" t="str">
        <x:v>UNIVERSAL</x:v>
      </x:c>
      <x:c r="F16" s="62" t="str">
        <x:v>BLOQUEAR</x:v>
      </x:c>
      <x:c r="G16" s="62" t="str">
        <x:v>ver documentación de control</x:v>
      </x:c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market_supported</x:v>
      </x:c>
      <x:c r="B17" s="62" t="str">
        <x:f>IF(OR('01_CONTROL'!B9="US",'01_CONTROL'!B9="JP",'01_CONTROL'!B9="TW"),"OK","ERROR")</x:f>
        <x:v>OK</x:v>
      </x:c>
      <x:c r="C17" s="62" t="str">
        <x:v>ALTA</x:v>
      </x:c>
      <x:c r="D17" s="62" t="str">
        <x:f>IF(B17="OK","APPROVED",IF(B17="ERROR","BLOCKED","REVIEW"))</x:f>
        <x:v>APPROVED</x:v>
      </x:c>
      <x:c r="E17" s="62" t="str">
        <x:v>UNIVERSAL</x:v>
      </x:c>
      <x:c r="F17" s="62" t="str">
        <x:v>BLOQUEAR</x:v>
      </x:c>
      <x:c r="G17" s="62" t="str">
        <x:v>ver documentación de control</x:v>
      </x:c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wacc_growth_spread</x:v>
      </x:c>
      <x:c r="B18" s="62" t="str">
        <x:f>IF(AND('07_WACC'!H35&gt;'06_DRIVERS'!J10,'07_WACC'!J35&gt;'06_DRIVERS'!J10,'07_WACC'!L35&gt;'06_DRIVERS'!J10),"OK","ERROR")</x:f>
        <x:v>ERROR</x:v>
      </x:c>
      <x:c r="C18" s="62" t="str">
        <x:v>ALTA</x:v>
      </x:c>
      <x:c r="D18" s="62" t="str">
        <x:f>IF(B18="OK","APPROVED",IF(B18="ERROR","BLOCKED","REVIEW"))</x:f>
        <x:v>BLOCKED</x:v>
      </x:c>
      <x:c r="E18" s="62" t="str">
        <x:v>UNIVERSAL</x:v>
      </x:c>
      <x:c r="F18" s="62" t="str">
        <x:v>BLOQUEAR</x:v>
      </x:c>
      <x:c r="G18" s="62" t="str">
        <x:v>ver documentación de control</x:v>
      </x:c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family_specific_review</x:v>
      </x:c>
      <x:c r="B19" s="62" t="str">
        <x:f>IF(OR('01_CONTROL'!B22="BANK",'01_CONTROL'!B22="INSURANCE",'01_CONTROL'!B22="REIT"),"REVIEW","OK")</x:f>
        <x:v>OK</x:v>
      </x:c>
      <x:c r="C19" s="62" t="str">
        <x:v>MEDIA</x:v>
      </x:c>
      <x:c r="D19" s="62" t="str">
        <x:f>IF(B19="OK","APPROVED",IF(B19="ERROR","BLOCKED","REVIEW"))</x:f>
        <x:v>APPROVED</x:v>
      </x:c>
      <x:c r="E19" s="62" t="str">
        <x:v>UNIVERSAL</x:v>
      </x:c>
      <x:c r="F19" s="62" t="str">
        <x:v>REVISAR</x:v>
      </x:c>
      <x:c r="G19" s="62" t="str">
        <x:v>ver documentación de control</x:v>
      </x:c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premiums_assessed</x:v>
      </x:c>
      <x:c r="B20" s="62" t="str">
        <x:f>IF(COUNT('07_WACC'!H30:H33,'07_WACC'!J30:J33,'07_WACC'!L30:L33)=12,"OK","ERROR")</x:f>
        <x:v>ERROR</x:v>
      </x:c>
      <x:c r="C20" s="62" t="str">
        <x:v>ALTA</x:v>
      </x:c>
      <x:c r="D20" s="62" t="str">
        <x:f>IF(B20="OK","APPROVED",IF(B20="ERROR","BLOCKED","REVIEW"))</x:f>
        <x:v>BLOCKED</x:v>
      </x:c>
      <x:c r="E20" s="62" t="str">
        <x:v>UNIVERSAL</x:v>
      </x:c>
      <x:c r="F20" s="62" t="str">
        <x:v>BLOQUEAR</x:v>
      </x:c>
      <x:c r="G20" s="62" t="str">
        <x:v>ver documentación de control</x:v>
      </x:c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premium_policy_approval</x:v>
      </x:c>
      <x:c r="B21" s="62" t="str">
        <x:f>IF('01_CONTROL'!B46="APPROVED","OK","REVIEW")</x:f>
        <x:v>REVIEW</x:v>
      </x:c>
      <x:c r="C21" s="62" t="str">
        <x:v>MEDIA</x:v>
      </x:c>
      <x:c r="D21" s="62" t="str">
        <x:f>IF(B21="OK","APPROVED","REVIEW")</x:f>
        <x:v>REVIEW</x:v>
      </x:c>
      <x:c r="E21" s="62" t="str">
        <x:v>UNIVERSAL</x:v>
      </x:c>
      <x:c r="F21" s="62" t="str">
        <x:v>REVISAR</x:v>
      </x:c>
      <x:c r="G21" s="62" t="str">
        <x:v>Política DRAFT obliga a REVISAR resultados</x:v>
      </x:c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G1"/>
  </x:mergeCells>
  <x:conditionalFormatting sqref="B4:D20">
    <x:cfRule type="expression" dxfId="2" priority="1">
      <x:formula>B4="OK"</x:formula>
    </x:cfRule>
    <x:cfRule type="expression" dxfId="3" priority="2">
      <x:formula>B4="ERROR"</x:formula>
    </x:cfRule>
    <x:cfRule type="expression" dxfId="4" priority="3">
      <x:formula>B4="REVISAR"</x:formula>
    </x:cfRule>
  </x:conditionalFormatting>
  <x:pageMargins left="0.7" right="0.7" top="0.75" bottom="0.75" header="0.3" footer="0.3"/>
</x:worksheet>
</file>