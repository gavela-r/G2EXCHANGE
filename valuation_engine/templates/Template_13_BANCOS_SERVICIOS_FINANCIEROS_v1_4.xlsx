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6e5ab1bbe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8df9ba1339674fb6"/>
    <x:sheet xmlns:r="http://schemas.openxmlformats.org/officeDocument/2006/relationships" name="01_CONTROL" sheetId="2" r:id="Rd8b3f24a708848eb"/>
    <x:sheet xmlns:r="http://schemas.openxmlformats.org/officeDocument/2006/relationships" name="02_DATOS_RAW" sheetId="3" r:id="R7d5158e481884a0a"/>
    <x:sheet xmlns:r="http://schemas.openxmlformats.org/officeDocument/2006/relationships" name="03_NORMALIZACION" sheetId="4" r:id="Rd5755d30389c4cda"/>
    <x:sheet xmlns:r="http://schemas.openxmlformats.org/officeDocument/2006/relationships" name="04_METRICAS_SECTOR" sheetId="5" r:id="R2c4ddbb14d6e4d3f"/>
    <x:sheet xmlns:r="http://schemas.openxmlformats.org/officeDocument/2006/relationships" name="05_AJUSTES_NOTICIAS" sheetId="6" r:id="Rce7ec46968a64a67"/>
    <x:sheet xmlns:r="http://schemas.openxmlformats.org/officeDocument/2006/relationships" name="06_DRIVERS" sheetId="7" r:id="R7e924c1343404471"/>
    <x:sheet xmlns:r="http://schemas.openxmlformats.org/officeDocument/2006/relationships" name="07_WACC" sheetId="8" r:id="Rf7cea60b5ffa43d2"/>
    <x:sheet xmlns:r="http://schemas.openxmlformats.org/officeDocument/2006/relationships" name="08_PROYECCIONES" sheetId="9" r:id="R0c419b82270d409d"/>
    <x:sheet xmlns:r="http://schemas.openxmlformats.org/officeDocument/2006/relationships" name="09_VALORACION" sheetId="10" r:id="R0f83d5b354bf431c"/>
    <x:sheet xmlns:r="http://schemas.openxmlformats.org/officeDocument/2006/relationships" name="10_RESULTADO" sheetId="11" r:id="R9371f8fff3e14a2f"/>
    <x:sheet xmlns:r="http://schemas.openxmlformats.org/officeDocument/2006/relationships" name="11_OUTPUT_API" sheetId="12" r:id="R8f2cc5dc4f984ef3"/>
    <x:sheet xmlns:r="http://schemas.openxmlformats.org/officeDocument/2006/relationships" name="12_MAPEO_SOFTWARE" sheetId="13" r:id="R1648722a62de4de5"/>
    <x:sheet xmlns:r="http://schemas.openxmlformats.org/officeDocument/2006/relationships" name="13_VALIDACIONES" sheetId="14" r:id="R27da97efdc03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177721fdd47d3" /><Relationship Type="http://schemas.openxmlformats.org/officeDocument/2006/relationships/theme" Target="/xl/theme/theme1.xml" Id="Rd3c9d3103b6f435c" /><Relationship Type="http://schemas.openxmlformats.org/officeDocument/2006/relationships/sharedStrings" Target="/xl/sharedStrings.xml" Id="Rda66af270d3b4b99" /><Relationship Type="http://schemas.openxmlformats.org/officeDocument/2006/relationships/worksheet" Target="/xl/worksheets/sheet1.xml" Id="R8df9ba1339674fb6" /><Relationship Type="http://schemas.openxmlformats.org/officeDocument/2006/relationships/worksheet" Target="/xl/worksheets/sheet2.xml" Id="Rd8b3f24a708848eb" /><Relationship Type="http://schemas.openxmlformats.org/officeDocument/2006/relationships/worksheet" Target="/xl/worksheets/sheet3.xml" Id="R7d5158e481884a0a" /><Relationship Type="http://schemas.openxmlformats.org/officeDocument/2006/relationships/worksheet" Target="/xl/worksheets/sheet4.xml" Id="Rd5755d30389c4cda" /><Relationship Type="http://schemas.openxmlformats.org/officeDocument/2006/relationships/worksheet" Target="/xl/worksheets/sheet5.xml" Id="R2c4ddbb14d6e4d3f" /><Relationship Type="http://schemas.openxmlformats.org/officeDocument/2006/relationships/worksheet" Target="/xl/worksheets/sheet6.xml" Id="Rce7ec46968a64a67" /><Relationship Type="http://schemas.openxmlformats.org/officeDocument/2006/relationships/worksheet" Target="/xl/worksheets/sheet7.xml" Id="R7e924c1343404471" /><Relationship Type="http://schemas.openxmlformats.org/officeDocument/2006/relationships/worksheet" Target="/xl/worksheets/sheet8.xml" Id="Rf7cea60b5ffa43d2" /><Relationship Type="http://schemas.openxmlformats.org/officeDocument/2006/relationships/worksheet" Target="/xl/worksheets/sheet9.xml" Id="R0c419b82270d409d" /><Relationship Type="http://schemas.openxmlformats.org/officeDocument/2006/relationships/worksheet" Target="/xl/worksheets/sheet10.xml" Id="R0f83d5b354bf431c" /><Relationship Type="http://schemas.openxmlformats.org/officeDocument/2006/relationships/worksheet" Target="/xl/worksheets/sheet11.xml" Id="R9371f8fff3e14a2f" /><Relationship Type="http://schemas.openxmlformats.org/officeDocument/2006/relationships/worksheet" Target="/xl/worksheets/sheet12.xml" Id="R8f2cc5dc4f984ef3" /><Relationship Type="http://schemas.openxmlformats.org/officeDocument/2006/relationships/worksheet" Target="/xl/worksheets/sheet13.xml" Id="R1648722a62de4de5" /><Relationship Type="http://schemas.openxmlformats.org/officeDocument/2006/relationships/worksheet" Target="/xl/worksheets/sheet14.xml" Id="R27da97efdc03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13 — BANCOS / SERVICIOS FINANCIEROS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13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Bancos / servicios financieros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BANK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13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BANK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BANK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BANCOS / SERVICIOS FINANCIEROS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roe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rote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cet1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net_interest_margin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cost_of_risk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npl_ratio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loan_to_deposit</x:v>
      </x:c>
      <x:c r="B10" s="68" t="str"/>
      <x:c r="C10" s="68" t="str"/>
      <x:c r="D10" s="68" t="str"/>
      <x:c r="E10" s="68" t="str"/>
      <x:c r="F10" s="68" t="str">
        <x:v>según métrica</x:v>
      </x:c>
      <x:c r="G10" s="68" t="str"/>
      <x:c r="H10" s="68" t="str"/>
      <x:c r="I10" s="68" t="str">
        <x:v>MEDIUM</x:v>
      </x:c>
      <x:c r="J10" s="68" t="str">
        <x:v>NO</x:v>
      </x:c>
      <x:c r="K10" s="68" t="str">
        <x:v>INFORMATIVO</x:v>
      </x:c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tangible_book_value</x:v>
      </x:c>
      <x:c r="B11" s="62" t="str"/>
      <x:c r="C11" s="62" t="str"/>
      <x:c r="D11" s="62" t="str"/>
      <x:c r="E11" s="62" t="str"/>
      <x:c r="F11" s="62" t="str">
        <x:v>millones</x:v>
      </x:c>
      <x:c r="G11" s="62" t="str"/>
      <x:c r="H11" s="62" t="str"/>
      <x:c r="I11" s="62" t="str">
        <x:v>MEDIUM</x:v>
      </x:c>
      <x:c r="J11" s="62" t="str">
        <x:v>YES</x:v>
      </x:c>
      <x:c r="K11" s="62" t="str">
        <x:v>INFORMATIVO</x:v>
      </x:c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10">
      <x:formula1>"HIGH,MEDIUM,LOW"</x:formula1>
    </x:dataValidation>
    <x:dataValidation type="list" sqref="J4:J10">
      <x:formula1>"YES,NO"</x:formula1>
    </x:dataValidation>
    <x:dataValidation type="list" sqref="K4:K10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0.04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0.016</x:v>
      </x:c>
      <x:c r="J4" s="76" t="n">
        <x:f>MAX(K4,MIN(L4,I4+H4))</x:f>
        <x:v>0.016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</x:v>
      </x:c>
      <x:c r="J5" s="76" t="n">
        <x:f>MAX(K5,MIN(L5,I5+H5))</x:f>
        <x:v>0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0.01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0.0025</x:v>
      </x:c>
      <x:c r="J7" s="76" t="n">
        <x:f>MAX(K7,MIN(L7,I7+H7))</x:f>
        <x:v>0.0025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</x:v>
      </x:c>
      <x:c r="J8" s="76" t="n">
        <x:f>MAX(K8,MIN(L8,I8+H8))</x:f>
        <x:v>0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</x:v>
      </x:c>
      <x:c r="J9" s="76" t="n">
        <x:f>MAX(K9,MIN(L9,I9+H9))</x:f>
        <x:v>0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</x:v>
      </x:c>
      <x:c r="J10" s="76" t="n">
        <x:f>MAX(K10,MIN(L10,I10+H10))</x:f>
        <x:v>0.02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1.2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1.2</x:v>
      </x:c>
      <x:c r="J12" s="78" t="n">
        <x:f>MAX(K12,MIN(L12,I12+H12))</x:f>
        <x:v>1.2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-0.019000000000000003</x:v>
      </x:c>
      <x:c r="D6" s="76" t="n">
        <x:f>MAX(-0.20,MIN(0.35,'06_DRIVERS'!$J$4*0.9+-0.035))</x:f>
        <x:v>-0.0206</x:v>
      </x:c>
      <x:c r="E6" s="76" t="n">
        <x:f>MAX(-0.20,MIN(0.35,'06_DRIVERS'!$J$4*0.8+-0.035))</x:f>
        <x:v>-0.022200000000000004</x:v>
      </x:c>
      <x:c r="F6" s="76" t="n">
        <x:f>MAX(-0.20,MIN(0.35,'06_DRIVERS'!$J$4*0.7+-0.035))</x:f>
        <x:v>-0.0238</x:v>
      </x:c>
      <x:c r="G6" s="76" t="n">
        <x:f>MAX(-0.20,MIN(0.35,'06_DRIVERS'!$J$4*0.6+-0.035))</x:f>
        <x:v>-0.025400000000000006</x:v>
      </x:c>
      <x:c r="H6" s="62"/>
      <x:c r="I6" s="62" t="str">
        <x:v>Growth</x:v>
      </x:c>
      <x:c r="J6" s="75"/>
      <x:c r="K6" s="76" t="n">
        <x:f>MAX(-0.20,MIN(0.35,'06_DRIVERS'!$J$4*1+0))</x:f>
        <x:v>0.016</x:v>
      </x:c>
      <x:c r="L6" s="76" t="n">
        <x:f>MAX(-0.20,MIN(0.35,'06_DRIVERS'!$J$4*0.9+0))</x:f>
        <x:v>0.014400000000000001</x:v>
      </x:c>
      <x:c r="M6" s="76" t="n">
        <x:f>MAX(-0.20,MIN(0.35,'06_DRIVERS'!$J$4*0.8+0))</x:f>
        <x:v>0.0128</x:v>
      </x:c>
      <x:c r="N6" s="76" t="n">
        <x:f>MAX(-0.20,MIN(0.35,'06_DRIVERS'!$J$4*0.7+0))</x:f>
        <x:v>0.0112</x:v>
      </x:c>
      <x:c r="O6" s="76" t="n">
        <x:f>MAX(-0.20,MIN(0.35,'06_DRIVERS'!$J$4*0.6+0))</x:f>
        <x:v>0.0096</x:v>
      </x:c>
      <x:c r="P6" s="62"/>
      <x:c r="Q6" s="62" t="str">
        <x:v>Growth</x:v>
      </x:c>
      <x:c r="R6" s="75"/>
      <x:c r="S6" s="76" t="n">
        <x:f>MAX(-0.20,MIN(0.35,'06_DRIVERS'!$J$4*1+0.035))</x:f>
        <x:v>0.051000000000000004</x:v>
      </x:c>
      <x:c r="T6" s="76" t="n">
        <x:f>MAX(-0.20,MIN(0.35,'06_DRIVERS'!$J$4*0.9+0.035))</x:f>
        <x:v>0.049400000000000006</x:v>
      </x:c>
      <x:c r="U6" s="76" t="n">
        <x:f>MAX(-0.20,MIN(0.35,'06_DRIVERS'!$J$4*0.8+0.035))</x:f>
        <x:v>0.0478</x:v>
      </x:c>
      <x:c r="V6" s="76" t="n">
        <x:f>MAX(-0.20,MIN(0.35,'06_DRIVERS'!$J$4*0.7+0.035))</x:f>
        <x:v>0.046200000000000005</x:v>
      </x:c>
      <x:c r="W6" s="76" t="n">
        <x:f>MAX(-0.20,MIN(0.35,'06_DRIVERS'!$J$4*0.6+0.035))</x:f>
        <x:v>0.0446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-0.025</x:v>
      </x:c>
      <x:c r="D7" s="76" t="n">
        <x:f>MAX(-0.30,MIN(0.50,'03_NORMALIZACION'!$E$9+('06_DRIVERS'!$J$5-'03_NORMALIZACION'!$E$9)*0.4+-0.025))</x:f>
        <x:v>-0.025</x:v>
      </x:c>
      <x:c r="E7" s="76" t="n">
        <x:f>MAX(-0.30,MIN(0.50,'03_NORMALIZACION'!$E$9+('06_DRIVERS'!$J$5-'03_NORMALIZACION'!$E$9)*0.6+-0.025))</x:f>
        <x:v>-0.025</x:v>
      </x:c>
      <x:c r="F7" s="76" t="n">
        <x:f>MAX(-0.30,MIN(0.50,'03_NORMALIZACION'!$E$9+('06_DRIVERS'!$J$5-'03_NORMALIZACION'!$E$9)*0.8+-0.025))</x:f>
        <x:v>-0.025</x:v>
      </x:c>
      <x:c r="G7" s="76" t="n">
        <x:f>MAX(-0.30,MIN(0.50,'03_NORMALIZACION'!$E$9+('06_DRIVERS'!$J$5-'03_NORMALIZACION'!$E$9)*1.0+-0.025))</x:f>
        <x:v>-0.025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</x:v>
      </x:c>
      <x:c r="L7" s="76" t="n">
        <x:f>MAX(-0.30,MIN(0.50,'03_NORMALIZACION'!$E$9+('06_DRIVERS'!$J$5-'03_NORMALIZACION'!$E$9)*0.4+0))</x:f>
        <x:v>0</x:v>
      </x:c>
      <x:c r="M7" s="76" t="n">
        <x:f>MAX(-0.30,MIN(0.50,'03_NORMALIZACION'!$E$9+('06_DRIVERS'!$J$5-'03_NORMALIZACION'!$E$9)*0.6+0))</x:f>
        <x:v>0</x:v>
      </x:c>
      <x:c r="N7" s="76" t="n">
        <x:f>MAX(-0.30,MIN(0.50,'03_NORMALIZACION'!$E$9+('06_DRIVERS'!$J$5-'03_NORMALIZACION'!$E$9)*0.8+0))</x:f>
        <x:v>0</x:v>
      </x:c>
      <x:c r="O7" s="76" t="n">
        <x:f>MAX(-0.30,MIN(0.50,'03_NORMALIZACION'!$E$9+('06_DRIVERS'!$J$5-'03_NORMALIZACION'!$E$9)*1.0+0))</x:f>
        <x:v>0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0.025</x:v>
      </x:c>
      <x:c r="T7" s="76" t="n">
        <x:f>MAX(-0.30,MIN(0.50,'03_NORMALIZACION'!$E$9+('06_DRIVERS'!$J$5-'03_NORMALIZACION'!$E$9)*0.4+0.025))</x:f>
        <x:v>0.025</x:v>
      </x:c>
      <x:c r="U7" s="76" t="n">
        <x:f>MAX(-0.30,MIN(0.50,'03_NORMALIZACION'!$E$9+('06_DRIVERS'!$J$5-'03_NORMALIZACION'!$E$9)*0.6+0.025))</x:f>
        <x:v>0.025</x:v>
      </x:c>
      <x:c r="V7" s="76" t="n">
        <x:f>MAX(-0.30,MIN(0.50,'03_NORMALIZACION'!$E$9+('06_DRIVERS'!$J$5-'03_NORMALIZACION'!$E$9)*0.8+0.025))</x:f>
        <x:v>0.025</x:v>
      </x:c>
      <x:c r="W7" s="76" t="n">
        <x:f>MAX(-0.30,MIN(0.50,'03_NORMALIZACION'!$E$9+('06_DRIVERS'!$J$5-'03_NORMALIZACION'!$E$9)*1.0+0.025))</x:f>
        <x:v>0.025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BANK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IFERROR(('02_DATOS_RAW'!E17*(1+('03_NORMALIZACION'!E16-'07_WACC'!B20)/MAX(0.01,'07_WACC'!B20-'06_DRIVERS'!J10)))/'01_CONTROL'!B13,0)</x:f>
        <x:v>0</x:v>
      </x:c>
      <x:c r="C4" s="75" t="n">
        <x:f>IFERROR(('02_DATOS_RAW'!E17*(1+('03_NORMALIZACION'!E16-'07_WACC'!B20)/MAX(0.01,'07_WACC'!B20-'06_DRIVERS'!J10)))/'01_CONTROL'!B13,0)</x:f>
        <x:v>0</x:v>
      </x:c>
      <x:c r="D4" s="75" t="n">
        <x:f>IFERROR(('02_DATOS_RAW'!E17*(1+('03_NORMALIZACION'!E16-'07_WACC'!B20)/MAX(0.01,'07_WACC'!B20-'06_DRIVERS'!J10)))/'01_CONTROL'!B13,0)</x:f>
        <x:v>0</x:v>
      </x:c>
      <x:c r="E4" s="62" t="str">
        <x:v>moneda/acción</x:v>
      </x:c>
      <x:c r="F4" s="62" t="str">
        <x:v>BANK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IFERROR(('04_METRICAS_SECTOR'!E11*'06_DRIVERS'!J12)/'01_CONTROL'!B13,0)</x:f>
        <x:v>0</x:v>
      </x:c>
      <x:c r="C5" s="75" t="n">
        <x:f>IFERROR(('04_METRICAS_SECTOR'!E11*'06_DRIVERS'!J12)/'01_CONTROL'!B13,0)</x:f>
        <x:v>0</x:v>
      </x:c>
      <x:c r="D5" s="75" t="n">
        <x:f>IFERROR(('04_METRICAS_SECTOR'!E11*'06_DRIVERS'!J12)/'01_CONTROL'!B13,0)</x:f>
        <x:v>0</x:v>
      </x:c>
      <x:c r="E5" s="62" t="str">
        <x:v>moneda/acción</x:v>
      </x:c>
      <x:c r="F5" s="62" t="str">
        <x:v>P/TBV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13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sector_metrics.roe.fy3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sector_metrics.roe.fy2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sector_metrics.roe.fy1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sector_metrics.roe.fy0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sector_metrics.rote.fy3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sector_metrics.rote.fy2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sector_metrics.rote.fy1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sector_metrics.rote.fy0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sector_metrics.cet1.fy3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sector_metrics.cet1.fy2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sector_metrics.cet1.fy1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sector_metrics.cet1.fy0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sector_metrics.net_interest_margin.fy3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sector_metrics.net_interest_margin.fy2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sector_metrics.net_interest_margin.fy1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sector_metrics.net_interest_margin.fy0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sector_metrics.cost_of_risk.fy3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sector_metrics.cost_of_risk.fy2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sector_metrics.cost_of_risk.fy1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sector_metrics.cost_of_risk.fy0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sector_metrics.npl_ratio.fy3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4" t="str">
        <x:v>input_snapshot_id</x:v>
      </x:c>
      <x:c r="B115" s="64" t="str">
        <x:v>01_CONTROL</x:v>
      </x:c>
      <x:c r="C115" s="64" t="str">
        <x:v>B24</x:v>
      </x:c>
      <x:c r="D115" s="64" t="str">
        <x:v>string</x:v>
      </x:c>
      <x:c r="E115" s="64" t="str"/>
      <x:c r="F115" s="64" t="str">
        <x:v>Sí</x:v>
      </x:c>
      <x:c r="G115" s="64" t="str">
        <x:v>backend</x:v>
      </x:c>
      <x:c r="H115" s="64" t="str">
        <x:v>no vacío</x:v>
      </x:c>
      <x:c r="I115" s="64" t="str">
        <x:v>HIGH</x:v>
      </x:c>
      <x:c r="J115" s="64" t="str">
        <x:v>Sí</x:v>
      </x:c>
      <x:c r="K115" s="64" t="str"/>
      <x:c r="L115" s="64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4" t="str">
        <x:v>reporting_currency</x:v>
      </x:c>
      <x:c r="B116" s="64" t="str">
        <x:v>01_CONTROL</x:v>
      </x:c>
      <x:c r="C116" s="64" t="str">
        <x:v>B25</x:v>
      </x:c>
      <x:c r="D116" s="64" t="str">
        <x:v>string</x:v>
      </x:c>
      <x:c r="E116" s="64" t="str">
        <x:v>ISO 4217</x:v>
      </x:c>
      <x:c r="F116" s="64" t="str">
        <x:v>Sí</x:v>
      </x:c>
      <x:c r="G116" s="64" t="str">
        <x:v>snapshot</x:v>
      </x:c>
      <x:c r="H116" s="64" t="str">
        <x:v>3 letras</x:v>
      </x:c>
      <x:c r="I116" s="64" t="str">
        <x:v>HIGH</x:v>
      </x:c>
      <x:c r="J116" s="64" t="str">
        <x:v>Sí</x:v>
      </x:c>
      <x:c r="K116" s="64" t="str"/>
      <x:c r="L116" s="64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4" t="str">
        <x:v>valuation_currency</x:v>
      </x:c>
      <x:c r="B117" s="64" t="str">
        <x:v>01_CONTROL</x:v>
      </x:c>
      <x:c r="C117" s="64" t="str">
        <x:v>B26</x:v>
      </x:c>
      <x:c r="D117" s="64" t="str">
        <x:v>string</x:v>
      </x:c>
      <x:c r="E117" s="64" t="str">
        <x:v>ISO 4217</x:v>
      </x:c>
      <x:c r="F117" s="64" t="str">
        <x:v>Sí</x:v>
      </x:c>
      <x:c r="G117" s="64" t="str">
        <x:v>snapshot</x:v>
      </x:c>
      <x:c r="H117" s="64" t="str">
        <x:v>3 letras</x:v>
      </x:c>
      <x:c r="I117" s="64" t="str">
        <x:v>HIGH</x:v>
      </x:c>
      <x:c r="J117" s="64" t="str">
        <x:v>Sí</x:v>
      </x:c>
      <x:c r="K117" s="64" t="str"/>
      <x:c r="L117" s="64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4" t="str">
        <x:v>fx_rate_used</x:v>
      </x:c>
      <x:c r="B118" s="64" t="str">
        <x:v>01_CONTROL</x:v>
      </x:c>
      <x:c r="C118" s="64" t="str">
        <x:v>B27</x:v>
      </x:c>
      <x:c r="D118" s="64" t="str">
        <x:v>number</x:v>
      </x:c>
      <x:c r="E118" s="64" t="str">
        <x:v>ratio</x:v>
      </x:c>
      <x:c r="F118" s="64" t="str">
        <x:v>Sí</x:v>
      </x:c>
      <x:c r="G118" s="64" t="str">
        <x:v>snapshot</x:v>
      </x:c>
      <x:c r="H118" s="64" t="str">
        <x:v>&gt;0</x:v>
      </x:c>
      <x:c r="I118" s="64" t="str">
        <x:v>HIGH</x:v>
      </x:c>
      <x:c r="J118" s="64" t="str">
        <x:v>Sí</x:v>
      </x:c>
      <x:c r="K118" s="64" t="str"/>
      <x:c r="L118" s="64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29">
      <x:c r="A129" t="str">
        <x:v>sector_metrics.tangible_book_value.fy0</x:v>
      </x:c>
      <x:c r="B129" t="str">
        <x:v>04_METRICAS_SECTOR</x:v>
      </x:c>
      <x:c r="C129" t="str">
        <x:v>E11</x:v>
      </x:c>
      <x:c r="D129" t="str">
        <x:v>number</x:v>
      </x:c>
      <x:c r="E129" t="str">
        <x:v>millones</x:v>
      </x:c>
      <x:c r="F129" t="str">
        <x:v>Sí</x:v>
      </x:c>
      <x:c r="G129" t="str">
        <x:v>filing/API</x:v>
      </x:c>
      <x:c r="H129" t="str">
        <x:v>&gt;0</x:v>
      </x:c>
      <x:c r="I129" t="str">
        <x:v>HIGH</x:v>
      </x:c>
      <x:c r="J129" t="str">
        <x:v>Sí</x:v>
      </x:c>
      <x:c r="K129" t="str"/>
      <x:c r="L129" t="str">
        <x:v>Necesario para P/TBV</x:v>
      </x:c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BANK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REVIEW</x:v>
      </x:c>
      <x:c r="C19" s="62" t="str">
        <x:v>MEDIA</x:v>
      </x:c>
      <x:c r="D19" s="62" t="str">
        <x:f>IF(B19="OK","APPROVED",IF(B19="ERROR","BLOCKED","REVIEW"))</x:f>
        <x:v>REVIEW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