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f0223587d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ef5bcaebca404fbc"/>
    <x:sheet xmlns:r="http://schemas.openxmlformats.org/officeDocument/2006/relationships" name="01_CONTROL" sheetId="2" r:id="R44b09c060b884679"/>
    <x:sheet xmlns:r="http://schemas.openxmlformats.org/officeDocument/2006/relationships" name="02_DATOS_RAW" sheetId="3" r:id="R0ce4e7157d994f96"/>
    <x:sheet xmlns:r="http://schemas.openxmlformats.org/officeDocument/2006/relationships" name="03_NORMALIZACION" sheetId="4" r:id="R74a9ad6eb6354d87"/>
    <x:sheet xmlns:r="http://schemas.openxmlformats.org/officeDocument/2006/relationships" name="04_METRICAS_SECTOR" sheetId="5" r:id="Rcd83282666704533"/>
    <x:sheet xmlns:r="http://schemas.openxmlformats.org/officeDocument/2006/relationships" name="05_AJUSTES_NOTICIAS" sheetId="6" r:id="R1cea17c5f9ed4a1d"/>
    <x:sheet xmlns:r="http://schemas.openxmlformats.org/officeDocument/2006/relationships" name="06_DRIVERS" sheetId="7" r:id="R75d5697ad142419e"/>
    <x:sheet xmlns:r="http://schemas.openxmlformats.org/officeDocument/2006/relationships" name="07_WACC" sheetId="8" r:id="R5b8fb805ac1f4e47"/>
    <x:sheet xmlns:r="http://schemas.openxmlformats.org/officeDocument/2006/relationships" name="08_PROYECCIONES" sheetId="9" r:id="R1887a5058e9349c8"/>
    <x:sheet xmlns:r="http://schemas.openxmlformats.org/officeDocument/2006/relationships" name="09_VALORACION" sheetId="10" r:id="R8bf62c936b33408a"/>
    <x:sheet xmlns:r="http://schemas.openxmlformats.org/officeDocument/2006/relationships" name="10_RESULTADO" sheetId="11" r:id="R9777a0ddcfe04bf7"/>
    <x:sheet xmlns:r="http://schemas.openxmlformats.org/officeDocument/2006/relationships" name="11_OUTPUT_API" sheetId="12" r:id="Raa45c65fd02f4c00"/>
    <x:sheet xmlns:r="http://schemas.openxmlformats.org/officeDocument/2006/relationships" name="12_MAPEO_SOFTWARE" sheetId="13" r:id="R98c47d01f4954ee9"/>
    <x:sheet xmlns:r="http://schemas.openxmlformats.org/officeDocument/2006/relationships" name="13_VALIDACIONES" sheetId="14" r:id="R7e746e73a6b0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f70e679c745fe" /><Relationship Type="http://schemas.openxmlformats.org/officeDocument/2006/relationships/theme" Target="/xl/theme/theme1.xml" Id="Rebd3e122506a4677" /><Relationship Type="http://schemas.openxmlformats.org/officeDocument/2006/relationships/sharedStrings" Target="/xl/sharedStrings.xml" Id="R4ac4b6f37fea40ac" /><Relationship Type="http://schemas.openxmlformats.org/officeDocument/2006/relationships/worksheet" Target="/xl/worksheets/sheet1.xml" Id="Ref5bcaebca404fbc" /><Relationship Type="http://schemas.openxmlformats.org/officeDocument/2006/relationships/worksheet" Target="/xl/worksheets/sheet2.xml" Id="R44b09c060b884679" /><Relationship Type="http://schemas.openxmlformats.org/officeDocument/2006/relationships/worksheet" Target="/xl/worksheets/sheet3.xml" Id="R0ce4e7157d994f96" /><Relationship Type="http://schemas.openxmlformats.org/officeDocument/2006/relationships/worksheet" Target="/xl/worksheets/sheet4.xml" Id="R74a9ad6eb6354d87" /><Relationship Type="http://schemas.openxmlformats.org/officeDocument/2006/relationships/worksheet" Target="/xl/worksheets/sheet5.xml" Id="Rcd83282666704533" /><Relationship Type="http://schemas.openxmlformats.org/officeDocument/2006/relationships/worksheet" Target="/xl/worksheets/sheet6.xml" Id="R1cea17c5f9ed4a1d" /><Relationship Type="http://schemas.openxmlformats.org/officeDocument/2006/relationships/worksheet" Target="/xl/worksheets/sheet7.xml" Id="R75d5697ad142419e" /><Relationship Type="http://schemas.openxmlformats.org/officeDocument/2006/relationships/worksheet" Target="/xl/worksheets/sheet8.xml" Id="R5b8fb805ac1f4e47" /><Relationship Type="http://schemas.openxmlformats.org/officeDocument/2006/relationships/worksheet" Target="/xl/worksheets/sheet9.xml" Id="R1887a5058e9349c8" /><Relationship Type="http://schemas.openxmlformats.org/officeDocument/2006/relationships/worksheet" Target="/xl/worksheets/sheet10.xml" Id="R8bf62c936b33408a" /><Relationship Type="http://schemas.openxmlformats.org/officeDocument/2006/relationships/worksheet" Target="/xl/worksheets/sheet11.xml" Id="R9777a0ddcfe04bf7" /><Relationship Type="http://schemas.openxmlformats.org/officeDocument/2006/relationships/worksheet" Target="/xl/worksheets/sheet12.xml" Id="Raa45c65fd02f4c00" /><Relationship Type="http://schemas.openxmlformats.org/officeDocument/2006/relationships/worksheet" Target="/xl/worksheets/sheet13.xml" Id="R98c47d01f4954ee9" /><Relationship Type="http://schemas.openxmlformats.org/officeDocument/2006/relationships/worksheet" Target="/xl/worksheets/sheet14.xml" Id="R7e746e73a6b048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14 — SEGUROS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14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Seguros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INSURANCE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14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INSURANCE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INSURANCE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SEGUROS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roe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combined_ratio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solvency_ratio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gross_written_premiums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technical_reserves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new_business_value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9">
      <x:formula1>"HIGH,MEDIUM,LOW"</x:formula1>
    </x:dataValidation>
    <x:dataValidation type="list" sqref="J4:J9">
      <x:formula1>"YES,NO"</x:formula1>
    </x:dataValidation>
    <x:dataValidation type="list" sqref="K4:K9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0.045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0.018</x:v>
      </x:c>
      <x:c r="J4" s="76" t="n">
        <x:f>MAX(K4,MIN(L4,I4+H4))</x:f>
        <x:v>0.018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</x:v>
      </x:c>
      <x:c r="J5" s="76" t="n">
        <x:f>MAX(K5,MIN(L5,I5+H5))</x:f>
        <x:v>0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0.01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0.0025</x:v>
      </x:c>
      <x:c r="J7" s="76" t="n">
        <x:f>MAX(K7,MIN(L7,I7+H7))</x:f>
        <x:v>0.0025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</x:v>
      </x:c>
      <x:c r="J8" s="76" t="n">
        <x:f>MAX(K8,MIN(L8,I8+H8))</x:f>
        <x:v>0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</x:v>
      </x:c>
      <x:c r="J9" s="76" t="n">
        <x:f>MAX(K9,MIN(L9,I9+H9))</x:f>
        <x:v>0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</x:v>
      </x:c>
      <x:c r="J10" s="76" t="n">
        <x:f>MAX(K10,MIN(L10,I10+H10))</x:f>
        <x:v>0.02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1.4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1.4</x:v>
      </x:c>
      <x:c r="J12" s="78" t="n">
        <x:f>MAX(K12,MIN(L12,I12+H12))</x:f>
        <x:v>1.4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-0.017000000000000005</x:v>
      </x:c>
      <x:c r="D6" s="76" t="n">
        <x:f>MAX(-0.20,MIN(0.35,'06_DRIVERS'!$J$4*0.9+-0.035))</x:f>
        <x:v>-0.018800000000000004</x:v>
      </x:c>
      <x:c r="E6" s="76" t="n">
        <x:f>MAX(-0.20,MIN(0.35,'06_DRIVERS'!$J$4*0.8+-0.035))</x:f>
        <x:v>-0.020600000000000004</x:v>
      </x:c>
      <x:c r="F6" s="76" t="n">
        <x:f>MAX(-0.20,MIN(0.35,'06_DRIVERS'!$J$4*0.7+-0.035))</x:f>
        <x:v>-0.022400000000000003</x:v>
      </x:c>
      <x:c r="G6" s="76" t="n">
        <x:f>MAX(-0.20,MIN(0.35,'06_DRIVERS'!$J$4*0.6+-0.035))</x:f>
        <x:v>-0.024200000000000006</x:v>
      </x:c>
      <x:c r="H6" s="62"/>
      <x:c r="I6" s="62" t="str">
        <x:v>Growth</x:v>
      </x:c>
      <x:c r="J6" s="75"/>
      <x:c r="K6" s="76" t="n">
        <x:f>MAX(-0.20,MIN(0.35,'06_DRIVERS'!$J$4*1+0))</x:f>
        <x:v>0.018</x:v>
      </x:c>
      <x:c r="L6" s="76" t="n">
        <x:f>MAX(-0.20,MIN(0.35,'06_DRIVERS'!$J$4*0.9+0))</x:f>
        <x:v>0.0162</x:v>
      </x:c>
      <x:c r="M6" s="76" t="n">
        <x:f>MAX(-0.20,MIN(0.35,'06_DRIVERS'!$J$4*0.8+0))</x:f>
        <x:v>0.0144</x:v>
      </x:c>
      <x:c r="N6" s="76" t="n">
        <x:f>MAX(-0.20,MIN(0.35,'06_DRIVERS'!$J$4*0.7+0))</x:f>
        <x:v>0.012599999999999998</x:v>
      </x:c>
      <x:c r="O6" s="76" t="n">
        <x:f>MAX(-0.20,MIN(0.35,'06_DRIVERS'!$J$4*0.6+0))</x:f>
        <x:v>0.010799999999999999</x:v>
      </x:c>
      <x:c r="P6" s="62"/>
      <x:c r="Q6" s="62" t="str">
        <x:v>Growth</x:v>
      </x:c>
      <x:c r="R6" s="75"/>
      <x:c r="S6" s="76" t="n">
        <x:f>MAX(-0.20,MIN(0.35,'06_DRIVERS'!$J$4*1+0.035))</x:f>
        <x:v>0.053000000000000005</x:v>
      </x:c>
      <x:c r="T6" s="76" t="n">
        <x:f>MAX(-0.20,MIN(0.35,'06_DRIVERS'!$J$4*0.9+0.035))</x:f>
        <x:v>0.0512</x:v>
      </x:c>
      <x:c r="U6" s="76" t="n">
        <x:f>MAX(-0.20,MIN(0.35,'06_DRIVERS'!$J$4*0.8+0.035))</x:f>
        <x:v>0.0494</x:v>
      </x:c>
      <x:c r="V6" s="76" t="n">
        <x:f>MAX(-0.20,MIN(0.35,'06_DRIVERS'!$J$4*0.7+0.035))</x:f>
        <x:v>0.0476</x:v>
      </x:c>
      <x:c r="W6" s="76" t="n">
        <x:f>MAX(-0.20,MIN(0.35,'06_DRIVERS'!$J$4*0.6+0.035))</x:f>
        <x:v>0.0458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-0.025</x:v>
      </x:c>
      <x:c r="D7" s="76" t="n">
        <x:f>MAX(-0.30,MIN(0.50,'03_NORMALIZACION'!$E$9+('06_DRIVERS'!$J$5-'03_NORMALIZACION'!$E$9)*0.4+-0.025))</x:f>
        <x:v>-0.025</x:v>
      </x:c>
      <x:c r="E7" s="76" t="n">
        <x:f>MAX(-0.30,MIN(0.50,'03_NORMALIZACION'!$E$9+('06_DRIVERS'!$J$5-'03_NORMALIZACION'!$E$9)*0.6+-0.025))</x:f>
        <x:v>-0.025</x:v>
      </x:c>
      <x:c r="F7" s="76" t="n">
        <x:f>MAX(-0.30,MIN(0.50,'03_NORMALIZACION'!$E$9+('06_DRIVERS'!$J$5-'03_NORMALIZACION'!$E$9)*0.8+-0.025))</x:f>
        <x:v>-0.025</x:v>
      </x:c>
      <x:c r="G7" s="76" t="n">
        <x:f>MAX(-0.30,MIN(0.50,'03_NORMALIZACION'!$E$9+('06_DRIVERS'!$J$5-'03_NORMALIZACION'!$E$9)*1.0+-0.025))</x:f>
        <x:v>-0.025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</x:v>
      </x:c>
      <x:c r="L7" s="76" t="n">
        <x:f>MAX(-0.30,MIN(0.50,'03_NORMALIZACION'!$E$9+('06_DRIVERS'!$J$5-'03_NORMALIZACION'!$E$9)*0.4+0))</x:f>
        <x:v>0</x:v>
      </x:c>
      <x:c r="M7" s="76" t="n">
        <x:f>MAX(-0.30,MIN(0.50,'03_NORMALIZACION'!$E$9+('06_DRIVERS'!$J$5-'03_NORMALIZACION'!$E$9)*0.6+0))</x:f>
        <x:v>0</x:v>
      </x:c>
      <x:c r="N7" s="76" t="n">
        <x:f>MAX(-0.30,MIN(0.50,'03_NORMALIZACION'!$E$9+('06_DRIVERS'!$J$5-'03_NORMALIZACION'!$E$9)*0.8+0))</x:f>
        <x:v>0</x:v>
      </x:c>
      <x:c r="O7" s="76" t="n">
        <x:f>MAX(-0.30,MIN(0.50,'03_NORMALIZACION'!$E$9+('06_DRIVERS'!$J$5-'03_NORMALIZACION'!$E$9)*1.0+0))</x:f>
        <x:v>0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0.025</x:v>
      </x:c>
      <x:c r="T7" s="76" t="n">
        <x:f>MAX(-0.30,MIN(0.50,'03_NORMALIZACION'!$E$9+('06_DRIVERS'!$J$5-'03_NORMALIZACION'!$E$9)*0.4+0.025))</x:f>
        <x:v>0.025</x:v>
      </x:c>
      <x:c r="U7" s="76" t="n">
        <x:f>MAX(-0.30,MIN(0.50,'03_NORMALIZACION'!$E$9+('06_DRIVERS'!$J$5-'03_NORMALIZACION'!$E$9)*0.6+0.025))</x:f>
        <x:v>0.025</x:v>
      </x:c>
      <x:c r="V7" s="76" t="n">
        <x:f>MAX(-0.30,MIN(0.50,'03_NORMALIZACION'!$E$9+('06_DRIVERS'!$J$5-'03_NORMALIZACION'!$E$9)*0.8+0.025))</x:f>
        <x:v>0.025</x:v>
      </x:c>
      <x:c r="W7" s="76" t="n">
        <x:f>MAX(-0.30,MIN(0.50,'03_NORMALIZACION'!$E$9+('06_DRIVERS'!$J$5-'03_NORMALIZACION'!$E$9)*1.0+0.025))</x:f>
        <x:v>0.025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INSURANCE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IFERROR(('02_DATOS_RAW'!E17*(1+('03_NORMALIZACION'!E16-'07_WACC'!B20)/MAX(0.01,'07_WACC'!B20-'06_DRIVERS'!J10)))/'01_CONTROL'!B13,0)</x:f>
        <x:v>0</x:v>
      </x:c>
      <x:c r="C4" s="75" t="n">
        <x:f>IFERROR(('02_DATOS_RAW'!E17*(1+('03_NORMALIZACION'!E16-'07_WACC'!B20)/MAX(0.01,'07_WACC'!B20-'06_DRIVERS'!J10)))/'01_CONTROL'!B13,0)</x:f>
        <x:v>0</x:v>
      </x:c>
      <x:c r="D4" s="75" t="n">
        <x:f>IFERROR(('02_DATOS_RAW'!E17*(1+('03_NORMALIZACION'!E16-'07_WACC'!B20)/MAX(0.01,'07_WACC'!B20-'06_DRIVERS'!J10)))/'01_CONTROL'!B13,0)</x:f>
        <x:v>0</x:v>
      </x:c>
      <x:c r="E4" s="62" t="str">
        <x:v>moneda/acción</x:v>
      </x:c>
      <x:c r="F4" s="62" t="str">
        <x:v>INSURANCE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IFERROR(('02_DATOS_RAW'!E17*'06_DRIVERS'!J12)/'01_CONTROL'!B13,0)</x:f>
        <x:v>0</x:v>
      </x:c>
      <x:c r="C5" s="75" t="n">
        <x:f>IFERROR(('02_DATOS_RAW'!E17*'06_DRIVERS'!J12)/'01_CONTROL'!B13,0)</x:f>
        <x:v>0</x:v>
      </x:c>
      <x:c r="D5" s="75" t="n">
        <x:f>IFERROR(('02_DATOS_RAW'!E17*'06_DRIVERS'!J12)/'01_CONTROL'!B13,0)</x:f>
        <x:v>0</x:v>
      </x:c>
      <x:c r="E5" s="62" t="str">
        <x:v>moneda/acción</x:v>
      </x:c>
      <x:c r="F5" s="62" t="str">
        <x:v>P/B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14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sector_metrics.roe.fy3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sector_metrics.roe.fy2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sector_metrics.roe.fy1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sector_metrics.roe.fy0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sector_metrics.combined_ratio.fy3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sector_metrics.combined_ratio.fy2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sector_metrics.combined_ratio.fy1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sector_metrics.combined_ratio.fy0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sector_metrics.solvency_ratio.fy3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sector_metrics.solvency_ratio.fy2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sector_metrics.solvency_ratio.fy1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sector_metrics.solvency_ratio.fy0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sector_metrics.gross_written_premiums.fy3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sector_metrics.gross_written_premiums.fy2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sector_metrics.gross_written_premiums.fy1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sector_metrics.gross_written_premiums.fy0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sector_metrics.technical_reserves.fy3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sector_metrics.technical_reserves.fy2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sector_metrics.technical_reserves.fy1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sector_metrics.technical_reserves.fy0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sector_metrics.new_business_value.fy3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INSURANCE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REVIEW</x:v>
      </x:c>
      <x:c r="C19" s="62" t="str">
        <x:v>MEDIA</x:v>
      </x:c>
      <x:c r="D19" s="62" t="str">
        <x:f>IF(B19="OK","APPROVED",IF(B19="ERROR","BLOCKED","REVIEW"))</x:f>
        <x:v>REVIEW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