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427f5f191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82f45e4f2d0b4996"/>
    <x:sheet xmlns:r="http://schemas.openxmlformats.org/officeDocument/2006/relationships" name="01_CONTROL" sheetId="2" r:id="R9d38b7740ab647fd"/>
    <x:sheet xmlns:r="http://schemas.openxmlformats.org/officeDocument/2006/relationships" name="02_DATOS_RAW" sheetId="3" r:id="Rcaee64c9b88f4127"/>
    <x:sheet xmlns:r="http://schemas.openxmlformats.org/officeDocument/2006/relationships" name="03_NORMALIZACION" sheetId="4" r:id="R11ef3133bbac42e7"/>
    <x:sheet xmlns:r="http://schemas.openxmlformats.org/officeDocument/2006/relationships" name="04_METRICAS_SECTOR" sheetId="5" r:id="Rd2bbc53dd60849bb"/>
    <x:sheet xmlns:r="http://schemas.openxmlformats.org/officeDocument/2006/relationships" name="05_AJUSTES_NOTICIAS" sheetId="6" r:id="R5538e47a3ee4422c"/>
    <x:sheet xmlns:r="http://schemas.openxmlformats.org/officeDocument/2006/relationships" name="06_DRIVERS" sheetId="7" r:id="Rab9138f9437f4206"/>
    <x:sheet xmlns:r="http://schemas.openxmlformats.org/officeDocument/2006/relationships" name="07_WACC" sheetId="8" r:id="Rafec09059b0348aa"/>
    <x:sheet xmlns:r="http://schemas.openxmlformats.org/officeDocument/2006/relationships" name="08_PROYECCIONES" sheetId="9" r:id="R76a58d90b09e4758"/>
    <x:sheet xmlns:r="http://schemas.openxmlformats.org/officeDocument/2006/relationships" name="09_VALORACION" sheetId="10" r:id="R6e9bd917c1df4aab"/>
    <x:sheet xmlns:r="http://schemas.openxmlformats.org/officeDocument/2006/relationships" name="10_RESULTADO" sheetId="11" r:id="R89fdf5a07d584f94"/>
    <x:sheet xmlns:r="http://schemas.openxmlformats.org/officeDocument/2006/relationships" name="11_OUTPUT_API" sheetId="12" r:id="R0f20411098e34267"/>
    <x:sheet xmlns:r="http://schemas.openxmlformats.org/officeDocument/2006/relationships" name="12_MAPEO_SOFTWARE" sheetId="13" r:id="Rf7634d6f0ac34a5d"/>
    <x:sheet xmlns:r="http://schemas.openxmlformats.org/officeDocument/2006/relationships" name="13_VALIDACIONES" sheetId="14" r:id="Re2918ba1053e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1fdd8c4584f0f" /><Relationship Type="http://schemas.openxmlformats.org/officeDocument/2006/relationships/theme" Target="/xl/theme/theme1.xml" Id="Ra8364a53274f4b30" /><Relationship Type="http://schemas.openxmlformats.org/officeDocument/2006/relationships/sharedStrings" Target="/xl/sharedStrings.xml" Id="Re43da185b3674245" /><Relationship Type="http://schemas.openxmlformats.org/officeDocument/2006/relationships/worksheet" Target="/xl/worksheets/sheet1.xml" Id="R82f45e4f2d0b4996" /><Relationship Type="http://schemas.openxmlformats.org/officeDocument/2006/relationships/worksheet" Target="/xl/worksheets/sheet2.xml" Id="R9d38b7740ab647fd" /><Relationship Type="http://schemas.openxmlformats.org/officeDocument/2006/relationships/worksheet" Target="/xl/worksheets/sheet3.xml" Id="Rcaee64c9b88f4127" /><Relationship Type="http://schemas.openxmlformats.org/officeDocument/2006/relationships/worksheet" Target="/xl/worksheets/sheet4.xml" Id="R11ef3133bbac42e7" /><Relationship Type="http://schemas.openxmlformats.org/officeDocument/2006/relationships/worksheet" Target="/xl/worksheets/sheet5.xml" Id="Rd2bbc53dd60849bb" /><Relationship Type="http://schemas.openxmlformats.org/officeDocument/2006/relationships/worksheet" Target="/xl/worksheets/sheet6.xml" Id="R5538e47a3ee4422c" /><Relationship Type="http://schemas.openxmlformats.org/officeDocument/2006/relationships/worksheet" Target="/xl/worksheets/sheet7.xml" Id="Rab9138f9437f4206" /><Relationship Type="http://schemas.openxmlformats.org/officeDocument/2006/relationships/worksheet" Target="/xl/worksheets/sheet8.xml" Id="Rafec09059b0348aa" /><Relationship Type="http://schemas.openxmlformats.org/officeDocument/2006/relationships/worksheet" Target="/xl/worksheets/sheet9.xml" Id="R76a58d90b09e4758" /><Relationship Type="http://schemas.openxmlformats.org/officeDocument/2006/relationships/worksheet" Target="/xl/worksheets/sheet10.xml" Id="R6e9bd917c1df4aab" /><Relationship Type="http://schemas.openxmlformats.org/officeDocument/2006/relationships/worksheet" Target="/xl/worksheets/sheet11.xml" Id="R89fdf5a07d584f94" /><Relationship Type="http://schemas.openxmlformats.org/officeDocument/2006/relationships/worksheet" Target="/xl/worksheets/sheet12.xml" Id="R0f20411098e34267" /><Relationship Type="http://schemas.openxmlformats.org/officeDocument/2006/relationships/worksheet" Target="/xl/worksheets/sheet13.xml" Id="Rf7634d6f0ac34a5d" /><Relationship Type="http://schemas.openxmlformats.org/officeDocument/2006/relationships/worksheet" Target="/xl/worksheets/sheet14.xml" Id="Re2918ba1053e48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15 — INMOBILIARIO / REIT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15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Inmobiliario / REIT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REIT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15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REIT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REIT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INMOBILIARIO / REIT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noi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ffo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affo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occupancy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same_property_rent_growth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cap_rate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ltv</x:v>
      </x:c>
      <x:c r="B10" s="68" t="str"/>
      <x:c r="C10" s="68" t="str"/>
      <x:c r="D10" s="68" t="str"/>
      <x:c r="E10" s="68" t="str"/>
      <x:c r="F10" s="68" t="str">
        <x:v>según métrica</x:v>
      </x:c>
      <x:c r="G10" s="68" t="str"/>
      <x:c r="H10" s="68" t="str"/>
      <x:c r="I10" s="68" t="str">
        <x:v>MEDIUM</x:v>
      </x:c>
      <x:c r="J10" s="68" t="str">
        <x:v>NO</x:v>
      </x:c>
      <x:c r="K10" s="68" t="str">
        <x:v>INFORMATIVO</x:v>
      </x:c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10">
      <x:formula1>"HIGH,MEDIUM,LOW"</x:formula1>
    </x:dataValidation>
    <x:dataValidation type="list" sqref="J4:J10">
      <x:formula1>"YES,NO"</x:formula1>
    </x:dataValidation>
    <x:dataValidation type="list" sqref="K4:K10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0.035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0.014000000000000002</x:v>
      </x:c>
      <x:c r="J4" s="76" t="n">
        <x:f>MAX(K4,MIN(L4,I4+H4))</x:f>
        <x:v>0.014000000000000002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</x:v>
      </x:c>
      <x:c r="J5" s="76" t="n">
        <x:f>MAX(K5,MIN(L5,I5+H5))</x:f>
        <x:v>0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0.01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0.0025</x:v>
      </x:c>
      <x:c r="J7" s="76" t="n">
        <x:f>MAX(K7,MIN(L7,I7+H7))</x:f>
        <x:v>0.0025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</x:v>
      </x:c>
      <x:c r="J8" s="76" t="n">
        <x:f>MAX(K8,MIN(L8,I8+H8))</x:f>
        <x:v>0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</x:v>
      </x:c>
      <x:c r="J9" s="76" t="n">
        <x:f>MAX(K9,MIN(L9,I9+H9))</x:f>
        <x:v>0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15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15</x:v>
      </x:c>
      <x:c r="J12" s="78" t="n">
        <x:f>MAX(K12,MIN(L12,I12+H12))</x:f>
        <x:v>15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-0.021</x:v>
      </x:c>
      <x:c r="D6" s="76" t="n">
        <x:f>MAX(-0.20,MIN(0.35,'06_DRIVERS'!$J$4*0.9+-0.035))</x:f>
        <x:v>-0.022400000000000003</x:v>
      </x:c>
      <x:c r="E6" s="76" t="n">
        <x:f>MAX(-0.20,MIN(0.35,'06_DRIVERS'!$J$4*0.8+-0.035))</x:f>
        <x:v>-0.0238</x:v>
      </x:c>
      <x:c r="F6" s="76" t="n">
        <x:f>MAX(-0.20,MIN(0.35,'06_DRIVERS'!$J$4*0.7+-0.035))</x:f>
        <x:v>-0.0252</x:v>
      </x:c>
      <x:c r="G6" s="76" t="n">
        <x:f>MAX(-0.20,MIN(0.35,'06_DRIVERS'!$J$4*0.6+-0.035))</x:f>
        <x:v>-0.026600000000000002</x:v>
      </x:c>
      <x:c r="H6" s="62"/>
      <x:c r="I6" s="62" t="str">
        <x:v>Growth</x:v>
      </x:c>
      <x:c r="J6" s="75"/>
      <x:c r="K6" s="76" t="n">
        <x:f>MAX(-0.20,MIN(0.35,'06_DRIVERS'!$J$4*1+0))</x:f>
        <x:v>0.014000000000000002</x:v>
      </x:c>
      <x:c r="L6" s="76" t="n">
        <x:f>MAX(-0.20,MIN(0.35,'06_DRIVERS'!$J$4*0.9+0))</x:f>
        <x:v>0.012600000000000002</x:v>
      </x:c>
      <x:c r="M6" s="76" t="n">
        <x:f>MAX(-0.20,MIN(0.35,'06_DRIVERS'!$J$4*0.8+0))</x:f>
        <x:v>0.011200000000000002</x:v>
      </x:c>
      <x:c r="N6" s="76" t="n">
        <x:f>MAX(-0.20,MIN(0.35,'06_DRIVERS'!$J$4*0.7+0))</x:f>
        <x:v>0.009800000000000001</x:v>
      </x:c>
      <x:c r="O6" s="76" t="n">
        <x:f>MAX(-0.20,MIN(0.35,'06_DRIVERS'!$J$4*0.6+0))</x:f>
        <x:v>0.008400000000000001</x:v>
      </x:c>
      <x:c r="P6" s="62"/>
      <x:c r="Q6" s="62" t="str">
        <x:v>Growth</x:v>
      </x:c>
      <x:c r="R6" s="75"/>
      <x:c r="S6" s="76" t="n">
        <x:f>MAX(-0.20,MIN(0.35,'06_DRIVERS'!$J$4*1+0.035))</x:f>
        <x:v>0.049</x:v>
      </x:c>
      <x:c r="T6" s="76" t="n">
        <x:f>MAX(-0.20,MIN(0.35,'06_DRIVERS'!$J$4*0.9+0.035))</x:f>
        <x:v>0.0476</x:v>
      </x:c>
      <x:c r="U6" s="76" t="n">
        <x:f>MAX(-0.20,MIN(0.35,'06_DRIVERS'!$J$4*0.8+0.035))</x:f>
        <x:v>0.046200000000000005</x:v>
      </x:c>
      <x:c r="V6" s="76" t="n">
        <x:f>MAX(-0.20,MIN(0.35,'06_DRIVERS'!$J$4*0.7+0.035))</x:f>
        <x:v>0.044800000000000006</x:v>
      </x:c>
      <x:c r="W6" s="76" t="n">
        <x:f>MAX(-0.20,MIN(0.35,'06_DRIVERS'!$J$4*0.6+0.035))</x:f>
        <x:v>0.04340000000000001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-0.025</x:v>
      </x:c>
      <x:c r="D7" s="76" t="n">
        <x:f>MAX(-0.30,MIN(0.50,'03_NORMALIZACION'!$E$9+('06_DRIVERS'!$J$5-'03_NORMALIZACION'!$E$9)*0.4+-0.025))</x:f>
        <x:v>-0.025</x:v>
      </x:c>
      <x:c r="E7" s="76" t="n">
        <x:f>MAX(-0.30,MIN(0.50,'03_NORMALIZACION'!$E$9+('06_DRIVERS'!$J$5-'03_NORMALIZACION'!$E$9)*0.6+-0.025))</x:f>
        <x:v>-0.025</x:v>
      </x:c>
      <x:c r="F7" s="76" t="n">
        <x:f>MAX(-0.30,MIN(0.50,'03_NORMALIZACION'!$E$9+('06_DRIVERS'!$J$5-'03_NORMALIZACION'!$E$9)*0.8+-0.025))</x:f>
        <x:v>-0.025</x:v>
      </x:c>
      <x:c r="G7" s="76" t="n">
        <x:f>MAX(-0.30,MIN(0.50,'03_NORMALIZACION'!$E$9+('06_DRIVERS'!$J$5-'03_NORMALIZACION'!$E$9)*1.0+-0.025))</x:f>
        <x:v>-0.025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</x:v>
      </x:c>
      <x:c r="L7" s="76" t="n">
        <x:f>MAX(-0.30,MIN(0.50,'03_NORMALIZACION'!$E$9+('06_DRIVERS'!$J$5-'03_NORMALIZACION'!$E$9)*0.4+0))</x:f>
        <x:v>0</x:v>
      </x:c>
      <x:c r="M7" s="76" t="n">
        <x:f>MAX(-0.30,MIN(0.50,'03_NORMALIZACION'!$E$9+('06_DRIVERS'!$J$5-'03_NORMALIZACION'!$E$9)*0.6+0))</x:f>
        <x:v>0</x:v>
      </x:c>
      <x:c r="N7" s="76" t="n">
        <x:f>MAX(-0.30,MIN(0.50,'03_NORMALIZACION'!$E$9+('06_DRIVERS'!$J$5-'03_NORMALIZACION'!$E$9)*0.8+0))</x:f>
        <x:v>0</x:v>
      </x:c>
      <x:c r="O7" s="76" t="n">
        <x:f>MAX(-0.30,MIN(0.50,'03_NORMALIZACION'!$E$9+('06_DRIVERS'!$J$5-'03_NORMALIZACION'!$E$9)*1.0+0))</x:f>
        <x:v>0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0.025</x:v>
      </x:c>
      <x:c r="T7" s="76" t="n">
        <x:f>MAX(-0.30,MIN(0.50,'03_NORMALIZACION'!$E$9+('06_DRIVERS'!$J$5-'03_NORMALIZACION'!$E$9)*0.4+0.025))</x:f>
        <x:v>0.025</x:v>
      </x:c>
      <x:c r="U7" s="76" t="n">
        <x:f>MAX(-0.30,MIN(0.50,'03_NORMALIZACION'!$E$9+('06_DRIVERS'!$J$5-'03_NORMALIZACION'!$E$9)*0.6+0.025))</x:f>
        <x:v>0.025</x:v>
      </x:c>
      <x:c r="V7" s="76" t="n">
        <x:f>MAX(-0.30,MIN(0.50,'03_NORMALIZACION'!$E$9+('06_DRIVERS'!$J$5-'03_NORMALIZACION'!$E$9)*0.8+0.025))</x:f>
        <x:v>0.025</x:v>
      </x:c>
      <x:c r="W7" s="76" t="n">
        <x:f>MAX(-0.30,MIN(0.50,'03_NORMALIZACION'!$E$9+('06_DRIVERS'!$J$5-'03_NORMALIZACION'!$E$9)*1.0+0.025))</x:f>
        <x:v>0.025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REIT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IFERROR(('02_DATOS_RAW'!E14*'06_DRIVERS'!J12-'01_CONTROL'!B14+'01_CONTROL'!B15)/'01_CONTROL'!B13,0)</x:f>
        <x:v>0</x:v>
      </x:c>
      <x:c r="C4" s="75" t="n">
        <x:f>IFERROR(('02_DATOS_RAW'!E14*'06_DRIVERS'!J12-'01_CONTROL'!B14+'01_CONTROL'!B15)/'01_CONTROL'!B13,0)</x:f>
        <x:v>0</x:v>
      </x:c>
      <x:c r="D4" s="75" t="n">
        <x:f>IFERROR(('02_DATOS_RAW'!E14*'06_DRIVERS'!J12-'01_CONTROL'!B14+'01_CONTROL'!B15)/'01_CONTROL'!B13,0)</x:f>
        <x:v>0</x:v>
      </x:c>
      <x:c r="E4" s="62" t="str">
        <x:v>moneda/acción</x:v>
      </x:c>
      <x:c r="F4" s="62" t="str">
        <x:v>REIT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IFERROR(('04_METRICAS_SECTOR'!E6*'06_DRIVERS'!J12)/'01_CONTROL'!B13,0)</x:f>
        <x:v>0</x:v>
      </x:c>
      <x:c r="C5" s="75" t="n">
        <x:f>IFERROR(('04_METRICAS_SECTOR'!E6*'06_DRIVERS'!J12)/'01_CONTROL'!B13,0)</x:f>
        <x:v>0</x:v>
      </x:c>
      <x:c r="D5" s="75" t="n">
        <x:f>IFERROR(('04_METRICAS_SECTOR'!E6*'06_DRIVERS'!J12)/'01_CONTROL'!B13,0)</x:f>
        <x:v>0</x:v>
      </x:c>
      <x:c r="E5" s="62" t="str">
        <x:v>moneda/acción</x:v>
      </x:c>
      <x:c r="F5" s="62" t="str">
        <x:v>P/AFFO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15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sector_metrics.noi.fy3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sector_metrics.noi.fy2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sector_metrics.noi.fy1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sector_metrics.noi.fy0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sector_metrics.ffo.fy3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sector_metrics.ffo.fy2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sector_metrics.ffo.fy1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sector_metrics.ffo.fy0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sector_metrics.affo.fy3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sector_metrics.affo.fy2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sector_metrics.affo.fy1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sector_metrics.affo.fy0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sector_metrics.occupancy.fy3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sector_metrics.occupancy.fy2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sector_metrics.occupancy.fy1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sector_metrics.occupancy.fy0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sector_metrics.same_property_rent_growth.fy3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sector_metrics.same_property_rent_growth.fy2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sector_metrics.same_property_rent_growth.fy1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sector_metrics.same_property_rent_growth.fy0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sector_metrics.cap_rate.fy3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4" t="str">
        <x:v>input_snapshot_id</x:v>
      </x:c>
      <x:c r="B115" s="64" t="str">
        <x:v>01_CONTROL</x:v>
      </x:c>
      <x:c r="C115" s="64" t="str">
        <x:v>B24</x:v>
      </x:c>
      <x:c r="D115" s="64" t="str">
        <x:v>string</x:v>
      </x:c>
      <x:c r="E115" s="64" t="str"/>
      <x:c r="F115" s="64" t="str">
        <x:v>Sí</x:v>
      </x:c>
      <x:c r="G115" s="64" t="str">
        <x:v>backend</x:v>
      </x:c>
      <x:c r="H115" s="64" t="str">
        <x:v>no vacío</x:v>
      </x:c>
      <x:c r="I115" s="64" t="str">
        <x:v>HIGH</x:v>
      </x:c>
      <x:c r="J115" s="64" t="str">
        <x:v>Sí</x:v>
      </x:c>
      <x:c r="K115" s="64" t="str"/>
      <x:c r="L115" s="64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4" t="str">
        <x:v>reporting_currency</x:v>
      </x:c>
      <x:c r="B116" s="64" t="str">
        <x:v>01_CONTROL</x:v>
      </x:c>
      <x:c r="C116" s="64" t="str">
        <x:v>B25</x:v>
      </x:c>
      <x:c r="D116" s="64" t="str">
        <x:v>string</x:v>
      </x:c>
      <x:c r="E116" s="64" t="str">
        <x:v>ISO 4217</x:v>
      </x:c>
      <x:c r="F116" s="64" t="str">
        <x:v>Sí</x:v>
      </x:c>
      <x:c r="G116" s="64" t="str">
        <x:v>snapshot</x:v>
      </x:c>
      <x:c r="H116" s="64" t="str">
        <x:v>3 letras</x:v>
      </x:c>
      <x:c r="I116" s="64" t="str">
        <x:v>HIGH</x:v>
      </x:c>
      <x:c r="J116" s="64" t="str">
        <x:v>Sí</x:v>
      </x:c>
      <x:c r="K116" s="64" t="str"/>
      <x:c r="L116" s="64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4" t="str">
        <x:v>valuation_currency</x:v>
      </x:c>
      <x:c r="B117" s="64" t="str">
        <x:v>01_CONTROL</x:v>
      </x:c>
      <x:c r="C117" s="64" t="str">
        <x:v>B26</x:v>
      </x:c>
      <x:c r="D117" s="64" t="str">
        <x:v>string</x:v>
      </x:c>
      <x:c r="E117" s="64" t="str">
        <x:v>ISO 4217</x:v>
      </x:c>
      <x:c r="F117" s="64" t="str">
        <x:v>Sí</x:v>
      </x:c>
      <x:c r="G117" s="64" t="str">
        <x:v>snapshot</x:v>
      </x:c>
      <x:c r="H117" s="64" t="str">
        <x:v>3 letras</x:v>
      </x:c>
      <x:c r="I117" s="64" t="str">
        <x:v>HIGH</x:v>
      </x:c>
      <x:c r="J117" s="64" t="str">
        <x:v>Sí</x:v>
      </x:c>
      <x:c r="K117" s="64" t="str"/>
      <x:c r="L117" s="64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4" t="str">
        <x:v>fx_rate_used</x:v>
      </x:c>
      <x:c r="B118" s="64" t="str">
        <x:v>01_CONTROL</x:v>
      </x:c>
      <x:c r="C118" s="64" t="str">
        <x:v>B27</x:v>
      </x:c>
      <x:c r="D118" s="64" t="str">
        <x:v>number</x:v>
      </x:c>
      <x:c r="E118" s="64" t="str">
        <x:v>ratio</x:v>
      </x:c>
      <x:c r="F118" s="64" t="str">
        <x:v>Sí</x:v>
      </x:c>
      <x:c r="G118" s="64" t="str">
        <x:v>snapshot</x:v>
      </x:c>
      <x:c r="H118" s="64" t="str">
        <x:v>&gt;0</x:v>
      </x:c>
      <x:c r="I118" s="64" t="str">
        <x:v>HIGH</x:v>
      </x:c>
      <x:c r="J118" s="64" t="str">
        <x:v>Sí</x:v>
      </x:c>
      <x:c r="K118" s="64" t="str"/>
      <x:c r="L118" s="64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REIT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REVIEW</x:v>
      </x:c>
      <x:c r="C19" s="62" t="str">
        <x:v>MEDIA</x:v>
      </x:c>
      <x:c r="D19" s="62" t="str">
        <x:f>IF(B19="OK","APPROVED",IF(B19="ERROR","BLOCKED","REVIEW"))</x:f>
        <x:v>REVIEW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